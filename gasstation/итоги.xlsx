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education\6 семестр\модел\gasstation\"/>
    </mc:Choice>
  </mc:AlternateContent>
  <xr:revisionPtr revIDLastSave="0" documentId="13_ncr:1_{B3126C76-3A1C-4567-80B3-75FD1583A866}" xr6:coauthVersionLast="47" xr6:coauthVersionMax="47" xr10:uidLastSave="{00000000-0000-0000-0000-000000000000}"/>
  <bookViews>
    <workbookView xWindow="768" yWindow="768" windowWidth="17280" windowHeight="8880" activeTab="3" xr2:uid="{B953F382-C8A8-40D6-83BC-37BBBE37FA30}"/>
  </bookViews>
  <sheets>
    <sheet name="Лист1" sheetId="1" r:id="rId1"/>
    <sheet name="Лист4" sheetId="4" r:id="rId2"/>
    <sheet name="Лист2" sheetId="2" r:id="rId3"/>
    <sheet name="Лист3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3" l="1"/>
  <c r="I14" i="4"/>
  <c r="I16" i="4"/>
  <c r="I15" i="4"/>
  <c r="J12" i="4"/>
  <c r="H3" i="4"/>
  <c r="H4" i="4"/>
  <c r="H5" i="4"/>
  <c r="H6" i="4"/>
  <c r="H7" i="4"/>
  <c r="H8" i="4"/>
  <c r="H9" i="4"/>
  <c r="H10" i="4"/>
  <c r="H11" i="4"/>
  <c r="H2" i="4"/>
  <c r="F3" i="4"/>
  <c r="B12" i="4"/>
  <c r="C12" i="4"/>
  <c r="E12" i="4"/>
  <c r="D12" i="4"/>
  <c r="F4" i="4" s="1"/>
  <c r="F2" i="4" l="1"/>
  <c r="F12" i="4"/>
  <c r="F11" i="4"/>
  <c r="F10" i="4"/>
  <c r="F9" i="4"/>
  <c r="F8" i="4"/>
  <c r="F7" i="4"/>
  <c r="F6" i="4"/>
  <c r="F5" i="4"/>
  <c r="G3" i="4" l="1"/>
  <c r="I3" i="4" s="1"/>
  <c r="J3" i="4" s="1"/>
  <c r="G4" i="4"/>
  <c r="I4" i="4" s="1"/>
  <c r="J4" i="4" s="1"/>
  <c r="G5" i="4"/>
  <c r="I5" i="4" s="1"/>
  <c r="J5" i="4" s="1"/>
  <c r="G6" i="4"/>
  <c r="I6" i="4" s="1"/>
  <c r="J6" i="4" s="1"/>
  <c r="G7" i="4"/>
  <c r="I7" i="4" s="1"/>
  <c r="J7" i="4" s="1"/>
  <c r="G8" i="4"/>
  <c r="I8" i="4" s="1"/>
  <c r="J8" i="4" s="1"/>
  <c r="G9" i="4"/>
  <c r="I9" i="4" s="1"/>
  <c r="J9" i="4" s="1"/>
  <c r="G10" i="4"/>
  <c r="I10" i="4" s="1"/>
  <c r="J10" i="4" s="1"/>
  <c r="G11" i="4"/>
  <c r="I11" i="4" s="1"/>
  <c r="J11" i="4" s="1"/>
  <c r="G2" i="4"/>
  <c r="I2" i="4" s="1"/>
  <c r="J2" i="4" s="1"/>
</calcChain>
</file>

<file path=xl/sharedStrings.xml><?xml version="1.0" encoding="utf-8"?>
<sst xmlns="http://schemas.openxmlformats.org/spreadsheetml/2006/main" count="541" uniqueCount="345">
  <si>
    <t>Места в очереди</t>
  </si>
  <si>
    <t>0МО</t>
  </si>
  <si>
    <t>1МО</t>
  </si>
  <si>
    <t>2МО</t>
  </si>
  <si>
    <t>3МО</t>
  </si>
  <si>
    <t>№</t>
  </si>
  <si>
    <t>Показатель</t>
  </si>
  <si>
    <t>Значение</t>
  </si>
  <si>
    <t>Владелец</t>
  </si>
  <si>
    <t>Клиент</t>
  </si>
  <si>
    <t>Совет</t>
  </si>
  <si>
    <t>Вероятность обслуживания</t>
  </si>
  <si>
    <t>Пропускная способность</t>
  </si>
  <si>
    <t>Вероятность отказа</t>
  </si>
  <si>
    <t>Вероятность занятости Одного КО</t>
  </si>
  <si>
    <t>Вероятность занятости Двух КО</t>
  </si>
  <si>
    <t>Среднее количество занятых каналов</t>
  </si>
  <si>
    <t>Вероятность простоя Первого КО</t>
  </si>
  <si>
    <t>Вероятность простоя Второго КО</t>
  </si>
  <si>
    <t>Системы</t>
  </si>
  <si>
    <t>Вероятность 0 заявок в очереди</t>
  </si>
  <si>
    <t xml:space="preserve">Вероятность 1 заявок в очереди </t>
  </si>
  <si>
    <t>Вероятность 2 заявок в очереди</t>
  </si>
  <si>
    <t xml:space="preserve">Вероятность 3 заявок в очереди </t>
  </si>
  <si>
    <t>Среднее количество заявок в очереди</t>
  </si>
  <si>
    <t>Среднее время ожидания заявки в очереди</t>
  </si>
  <si>
    <t>Среднее время обслуживания заявок в очереди</t>
  </si>
  <si>
    <t>Среднее время нахождение заявок в очереди</t>
  </si>
  <si>
    <t>0 мест</t>
  </si>
  <si>
    <t>Интересы</t>
  </si>
  <si>
    <t>1 место</t>
  </si>
  <si>
    <t>2 места</t>
  </si>
  <si>
    <t>3 места</t>
  </si>
  <si>
    <t>Потенциально теряет клиентов</t>
  </si>
  <si>
    <t>Высокий шанс не получить услугу</t>
  </si>
  <si>
    <t>Увеличить количество каналов обслуживания</t>
  </si>
  <si>
    <t>Оказывает относительно небольшое число услуг</t>
  </si>
  <si>
    <t>Очередь практически отсутствует</t>
  </si>
  <si>
    <t>Оценить, можно ли увеличить загрузку</t>
  </si>
  <si>
    <t>Теряет более половины клиентов</t>
  </si>
  <si>
    <t>Высокая вероятность отказа</t>
  </si>
  <si>
    <t>Необходимо снизить отказ путем увеличения ресурсов</t>
  </si>
  <si>
    <t>КО используется неполностью</t>
  </si>
  <si>
    <t>Очередь не формируется</t>
  </si>
  <si>
    <t>Возможна оптимизация загрузки</t>
  </si>
  <si>
    <t>Высокая загрузка двух КО</t>
  </si>
  <si>
    <t>Стабильность обслуживания</t>
  </si>
  <si>
    <t>Возможно, требуется третий КО</t>
  </si>
  <si>
    <t>КО работают на средней загрузке</t>
  </si>
  <si>
    <t>Обслуживание не гарантировано</t>
  </si>
  <si>
    <t>При росте потока заявок возможны задержки</t>
  </si>
  <si>
    <t>Простой КО приводит к потерям прибыли</t>
  </si>
  <si>
    <t>Не всегда доступен</t>
  </si>
  <si>
    <t>Увеличить спрос или перераспределить нагрузку</t>
  </si>
  <si>
    <t>Оптимальное использование</t>
  </si>
  <si>
    <t>Вероятность задержек низкая</t>
  </si>
  <si>
    <t>Поддерживать текущую модель работы</t>
  </si>
  <si>
    <t>Система работает в сбалансированном режиме</t>
  </si>
  <si>
    <t>Малый риск сбоев</t>
  </si>
  <si>
    <t>Контролировать текущий режим работы</t>
  </si>
  <si>
    <t>Очереди отсутствуют</t>
  </si>
  <si>
    <t>Обслуживание без ожидания</t>
  </si>
  <si>
    <t>Хорошо при стабильном потоке клиентов</t>
  </si>
  <si>
    <t>Нет необходимости ожидания</t>
  </si>
  <si>
    <t>Можно рассмотреть увеличение потока заявок</t>
  </si>
  <si>
    <t>Нет задержек</t>
  </si>
  <si>
    <t>Не требуется изменение системы</t>
  </si>
  <si>
    <t>Система справляется с нагрузкой</t>
  </si>
  <si>
    <t>Очередь не возникает</t>
  </si>
  <si>
    <t>Мгновенное обслуживание</t>
  </si>
  <si>
    <t>Можно оптимизировать загрузку</t>
  </si>
  <si>
    <t>Нет потерь из-за ожидания</t>
  </si>
  <si>
    <t>Обслуживание мгновенное</t>
  </si>
  <si>
    <t>Поддерживать баланс системы</t>
  </si>
  <si>
    <t>Оперативное выполнение заявки</t>
  </si>
  <si>
    <t>Ожидание минимальное</t>
  </si>
  <si>
    <t>Удерживать или снижать показатель</t>
  </si>
  <si>
    <t>Клиенты быстро проходят процесс</t>
  </si>
  <si>
    <t>Время ожидания низкое</t>
  </si>
  <si>
    <t>Контролировать нагрузку на систему</t>
  </si>
  <si>
    <t>Система балансирует нагрузку</t>
  </si>
  <si>
    <t>Минимальные задержки</t>
  </si>
  <si>
    <t>Можно перераспределить ресурсы</t>
  </si>
  <si>
    <t>В целом, система функционирует эффективно, но владельцу стоит обратить внимание на высокую вероятность отказов (50,7%) и потенциально увеличить количество каналов обслуживания и места очереди</t>
  </si>
  <si>
    <t>Улучшение качества обслуживания</t>
  </si>
  <si>
    <t>Выше вероятность получения услуги</t>
  </si>
  <si>
    <t>Можно еще снизить отказы, увеличив ресурсы</t>
  </si>
  <si>
    <t>Возросла эффективность работы</t>
  </si>
  <si>
    <t>Увеличено количество обработанных заявок</t>
  </si>
  <si>
    <t>Контролировать загрузку системы</t>
  </si>
  <si>
    <t>Потеря клиентов уменьшилась</t>
  </si>
  <si>
    <t>Все еще есть шанс отказа</t>
  </si>
  <si>
    <t>Уменьшить еще за счет увеличения каналов</t>
  </si>
  <si>
    <t>Каналы используются неполностью</t>
  </si>
  <si>
    <t>Очереди минимальны</t>
  </si>
  <si>
    <t>Возможна оптимизация распределения нагрузки</t>
  </si>
  <si>
    <t>Хорошее использование ресурсов</t>
  </si>
  <si>
    <t>Обслуживание становится стабильнее</t>
  </si>
  <si>
    <t>Следить за балансом нагрузки</t>
  </si>
  <si>
    <t>Возросла загрузка каналов</t>
  </si>
  <si>
    <t>Очередь небольшая</t>
  </si>
  <si>
    <t>Контролировать рост нагрузки</t>
  </si>
  <si>
    <t>Возможен незначительный простой</t>
  </si>
  <si>
    <t>Не оказывает серьезного влияния</t>
  </si>
  <si>
    <t>Можно перераспределить заявки</t>
  </si>
  <si>
    <t>Оптимальная загруженность</t>
  </si>
  <si>
    <t>Высокая вероятность обслуживания</t>
  </si>
  <si>
    <t>Продолжать контролировать загруженность</t>
  </si>
  <si>
    <t>Баланс нагрузки</t>
  </si>
  <si>
    <t>Ожидание остается низким</t>
  </si>
  <si>
    <t>Обеспечить поддержку работоспособности</t>
  </si>
  <si>
    <t>В большинстве случаев нет очередей</t>
  </si>
  <si>
    <t>Высокий шанс обслуживания без ожидания</t>
  </si>
  <si>
    <t>Оптимально для клиентов</t>
  </si>
  <si>
    <t>Возникновение очередей стало вероятнее</t>
  </si>
  <si>
    <t>Возможны небольшие задержки</t>
  </si>
  <si>
    <t>Контролировать увеличение нагрузки</t>
  </si>
  <si>
    <t>Двух заявок в очереди не наблюдается</t>
  </si>
  <si>
    <t>Нет длинных очередей</t>
  </si>
  <si>
    <t>Баланс нагрузки оптимален</t>
  </si>
  <si>
    <t>Очереди более 2 заявок отсутствуют</t>
  </si>
  <si>
    <t>Ожидание минимально</t>
  </si>
  <si>
    <t>Можно поддерживать текущий режим работы</t>
  </si>
  <si>
    <t>Легкое увеличение нагрузки</t>
  </si>
  <si>
    <t>Ожидание есть, но небольшое</t>
  </si>
  <si>
    <t>Важно не допустить дальнейшего роста очереди</t>
  </si>
  <si>
    <t>Практически мгновенное обслуживание</t>
  </si>
  <si>
    <t>Хороший показатель, требуется контроль</t>
  </si>
  <si>
    <t>Оперативность выполнения заявок</t>
  </si>
  <si>
    <t>Обслуживание становится быстрее</t>
  </si>
  <si>
    <t>Оптимально для скорости работы системы</t>
  </si>
  <si>
    <t>Быстрое прохождение процесса</t>
  </si>
  <si>
    <t>Ожидание остается на низком уровне</t>
  </si>
  <si>
    <t>Поддерживать данный баланс</t>
  </si>
  <si>
    <t>Рост загрузки системы</t>
  </si>
  <si>
    <t>Возможны редкие задержки</t>
  </si>
  <si>
    <t>Оценить перспективу увеличения мощностей</t>
  </si>
  <si>
    <t>Дальнейшее улучшение качества обслуживания</t>
  </si>
  <si>
    <t>Повышенная вероятность получения услуги</t>
  </si>
  <si>
    <t>Возможность оптимизации ресурсов</t>
  </si>
  <si>
    <t>Увеличение количества обработанных заявок</t>
  </si>
  <si>
    <t>Обслуживание стало еще эффективнее</t>
  </si>
  <si>
    <t>Потери клиентов снизились</t>
  </si>
  <si>
    <t>Шанс отказа все еще остается</t>
  </si>
  <si>
    <t>Можно снизить, добавив еще один канал</t>
  </si>
  <si>
    <t>Каналы загружены неравномерно</t>
  </si>
  <si>
    <t>Очереди небольшие</t>
  </si>
  <si>
    <t>Улучшить балансировку нагрузки</t>
  </si>
  <si>
    <t>Высокая загрузка каналов</t>
  </si>
  <si>
    <t>Система в большинстве случаев работает на пределе</t>
  </si>
  <si>
    <t>Возможно расширение ресурсов</t>
  </si>
  <si>
    <t>Рост загрузки каналов</t>
  </si>
  <si>
    <t>Обслуживание быстрее, но на грани перегрузки</t>
  </si>
  <si>
    <t>Каналы почти всегда заняты</t>
  </si>
  <si>
    <t>Оптимальное использование ресурсов</t>
  </si>
  <si>
    <t>Контролировать загруженность</t>
  </si>
  <si>
    <t>Очередь остается небольшой</t>
  </si>
  <si>
    <t>Поддерживать стабильность работы</t>
  </si>
  <si>
    <t>Очереди стали появляться чаще</t>
  </si>
  <si>
    <t>Меньше шансов моментального обслуживания</t>
  </si>
  <si>
    <t>Оценить перспективу расширения системы</t>
  </si>
  <si>
    <t>Очереди стали нормой</t>
  </si>
  <si>
    <t>Следить за ростом нагрузки</t>
  </si>
  <si>
    <t>Очереди более двух заявок не наблюдаются</t>
  </si>
  <si>
    <t>Ожидание редко превышает одного клиента</t>
  </si>
  <si>
    <t>Баланс системы поддерживается</t>
  </si>
  <si>
    <t>Высокий шанс скопления 3 заявок в очереди</t>
  </si>
  <si>
    <t>Возможны задержки в обслуживании</t>
  </si>
  <si>
    <t>Рассмотреть увеличение каналов</t>
  </si>
  <si>
    <t>Очереди стали длиннее</t>
  </si>
  <si>
    <t>Возможны задержки</t>
  </si>
  <si>
    <t>Незначительное увеличение времени ожидания</t>
  </si>
  <si>
    <t>Ожидание остается коротким</t>
  </si>
  <si>
    <t>Следить за дальнейшим ростом задержек</t>
  </si>
  <si>
    <t>Обслуживание стабильно быстрое</t>
  </si>
  <si>
    <t>Время ожидания не критично</t>
  </si>
  <si>
    <t>Поддерживать стабильную работу</t>
  </si>
  <si>
    <t>Незначительное увеличение</t>
  </si>
  <si>
    <t>Время ожидания остается приемлемым</t>
  </si>
  <si>
    <t>Оценить дальнейшее развитие системы</t>
  </si>
  <si>
    <t>Рост нагрузки системы</t>
  </si>
  <si>
    <t>Рассмотреть добавление ресурсов</t>
  </si>
  <si>
    <t>Существенное повышение эффективности</t>
  </si>
  <si>
    <t>Большая вероятность получить услугу</t>
  </si>
  <si>
    <t>Система работает лучше, но требует мониторинга</t>
  </si>
  <si>
    <t>Увеличение обработанных заявок</t>
  </si>
  <si>
    <t>Обслуживание стало еще более оперативным</t>
  </si>
  <si>
    <t>Оценить дальнейшую нагрузку на систему</t>
  </si>
  <si>
    <t>Снижение потерь клиентов</t>
  </si>
  <si>
    <t>Почти все клиенты получают услугу</t>
  </si>
  <si>
    <t>Достигнутый уровень приемлем, но стоит учитывать будущий рост</t>
  </si>
  <si>
    <t>Вероятность моментального обслуживания выше</t>
  </si>
  <si>
    <t>Оптимизировать распределение нагрузки</t>
  </si>
  <si>
    <t>Каналы в основном заняты</t>
  </si>
  <si>
    <t>Очереди могут расти</t>
  </si>
  <si>
    <t>Следить за перегрузками</t>
  </si>
  <si>
    <t>Почти максимальная загрузка</t>
  </si>
  <si>
    <t>Высокая эффективность обслуживания</t>
  </si>
  <si>
    <t>Возможен переход к расширению системы</t>
  </si>
  <si>
    <t>Простои стали редкими</t>
  </si>
  <si>
    <t>Высокая доступность каналов</t>
  </si>
  <si>
    <t>Следить за распределением нагрузки</t>
  </si>
  <si>
    <t>Очереди остаются небольшими</t>
  </si>
  <si>
    <t>Стабильность работы</t>
  </si>
  <si>
    <t>Система сохраняет высокий уровень обслуживания</t>
  </si>
  <si>
    <t>Очереди появляются чаще</t>
  </si>
  <si>
    <t>Уменьшается шанс моментального обслуживания</t>
  </si>
  <si>
    <t>Возможны задержки, стоит следить за тенденцией</t>
  </si>
  <si>
    <t>Очереди стали стабильной частью работы системы</t>
  </si>
  <si>
    <t>Время ожидания увеличивается</t>
  </si>
  <si>
    <t>Анализировать нагрузку и возможное расширение</t>
  </si>
  <si>
    <t>Значительное увеличение заявок в очереди</t>
  </si>
  <si>
    <t>Ожидание может стать проблемой</t>
  </si>
  <si>
    <t>Оценить необходимость масштабирования системы</t>
  </si>
  <si>
    <t>Очереди более трех заявок возникают часто</t>
  </si>
  <si>
    <t>Рассмотреть возможность добавления еще одного канала</t>
  </si>
  <si>
    <t>Возможно увеличение времени ожидания</t>
  </si>
  <si>
    <t>Время ожидания остается в пределах нормы</t>
  </si>
  <si>
    <t>Обслуживание остается быстрым</t>
  </si>
  <si>
    <t>Очереди стали заметно длиннее</t>
  </si>
  <si>
    <t>Необходим анализ на будущее расширение системы</t>
  </si>
  <si>
    <r>
      <t>Вероятность обслуживания увеличилась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b/>
        <sz val="11"/>
        <color theme="1"/>
        <rFont val="Calibri"/>
        <family val="2"/>
        <charset val="204"/>
        <scheme val="minor"/>
      </rPr>
      <t>0,657 до 0,821</t>
    </r>
    <r>
      <rPr>
        <sz val="11"/>
        <color theme="1"/>
        <rFont val="Calibri"/>
        <family val="2"/>
        <charset val="204"/>
        <scheme val="minor"/>
      </rPr>
      <t xml:space="preserve"> → почти все клиенты получают услугу.</t>
    </r>
  </si>
  <si>
    <r>
      <t>Вероятность отказа снизилась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b/>
        <sz val="11"/>
        <color theme="1"/>
        <rFont val="Calibri"/>
        <family val="2"/>
        <charset val="204"/>
        <scheme val="minor"/>
      </rPr>
      <t>0,336 до 0,194</t>
    </r>
    <r>
      <rPr>
        <sz val="11"/>
        <color theme="1"/>
        <rFont val="Calibri"/>
        <family val="2"/>
        <charset val="204"/>
        <scheme val="minor"/>
      </rPr>
      <t xml:space="preserve"> → число потерянных клиентов значительно уменьшилось.</t>
    </r>
  </si>
  <si>
    <t>Группа источников риска</t>
  </si>
  <si>
    <t>События риска</t>
  </si>
  <si>
    <t>Признак наступления риска</t>
  </si>
  <si>
    <t>Оценка вероятности</t>
  </si>
  <si>
    <t>Оценка влияния на проект</t>
  </si>
  <si>
    <t>Оценка риска</t>
  </si>
  <si>
    <t>1. Отношения с заказчиком</t>
  </si>
  <si>
    <t>1.1 Неточное определение рамок проекта</t>
  </si>
  <si>
    <t>Нарастающее отставание от графика. Появление внеплановых работ. Нарастающее превышение бюджета.</t>
  </si>
  <si>
    <t>Средняя</t>
  </si>
  <si>
    <t>Высокое</t>
  </si>
  <si>
    <t>Высокая</t>
  </si>
  <si>
    <t>1.2 Изменение требований заказчика</t>
  </si>
  <si>
    <t>Появление дополнительных работ. Запросы заказчика.</t>
  </si>
  <si>
    <t>Очень высокая</t>
  </si>
  <si>
    <t>1.3 Недоразумения в ходе выполнения проекта</t>
  </si>
  <si>
    <t>Жалобы на качество и сроки исполнения проекта.</t>
  </si>
  <si>
    <t>Среднее</t>
  </si>
  <si>
    <t>1.4 Подготовка объекта к началу работ</t>
  </si>
  <si>
    <t>Опоздание с началом работ.</t>
  </si>
  <si>
    <t>2. Неопределённость в оценках проекта</t>
  </si>
  <si>
    <t>2.1 Выявление дополнительных работ</t>
  </si>
  <si>
    <t>Появление дополнительных работ. Срыв сроков. Превышение бюджета.</t>
  </si>
  <si>
    <t>Низкая</t>
  </si>
  <si>
    <t>2.2 Колебание рыночных цен</t>
  </si>
  <si>
    <t>Дополнительные затраты на оборудование и ПО.</t>
  </si>
  <si>
    <t>3. Команда и ресурсы проекта</t>
  </si>
  <si>
    <t>3.1 Низкое качество выполнения работ</t>
  </si>
  <si>
    <t>Жалобы заказчика. Срыв сроков. Дополнительные затраты.</t>
  </si>
  <si>
    <t>3.2 Низкая дисциплина</t>
  </si>
  <si>
    <t>Срыв сроков выполнения работ. Нарушение качества.</t>
  </si>
  <si>
    <t>Очень низкая</t>
  </si>
  <si>
    <t>3.3 Уход ключевых специалистов</t>
  </si>
  <si>
    <t>Срыв сроков выполнения работ. Отсутствие ключевых специалистов.</t>
  </si>
  <si>
    <t>4. Технические риски</t>
  </si>
  <si>
    <t>4.1 Проблемы интеграции системы с сенсорами</t>
  </si>
  <si>
    <t>Ошибки в передаче данных. Несовместимость оборудования.</t>
  </si>
  <si>
    <t>4.2 Ошибки в алгоритмах управления</t>
  </si>
  <si>
    <t>Некорректная работа системы. Повышенное энергопотребление.</t>
  </si>
  <si>
    <t>5. Операционные риски</t>
  </si>
  <si>
    <t>5.1 Сбой в работе аппаратной части</t>
  </si>
  <si>
    <t>Полный или частичный отказ системы. Требуется замена оборудования.</t>
  </si>
  <si>
    <t>5.2 Нарушение сроков поставок оборудования</t>
  </si>
  <si>
    <t>Оборудование не поступило вовремя, задержка сборки прототипа.</t>
  </si>
  <si>
    <t>6. Внедрение и эксплуатация</t>
  </si>
  <si>
    <t>6.1 Сопротивление пользователей изменениям</t>
  </si>
  <si>
    <t>Низкая вовлеченность в обучение. Негативные отзывы.</t>
  </si>
  <si>
    <t>6.2 Ошибки при настройке и вводе в эксплуатацию</t>
  </si>
  <si>
    <t>Некорректная работа системы после установки.</t>
  </si>
  <si>
    <t>Меры реагирования</t>
  </si>
  <si>
    <t>Разработка и утверждение устава проекта с четким определением границ.</t>
  </si>
  <si>
    <t>Закрепление в контракте процедуры пересмотра требований с учетом сроков и бюджета.</t>
  </si>
  <si>
    <t>Регулярные встречи с заказчиком, прозрачная отчетность.</t>
  </si>
  <si>
    <t>Закрепление обязательств заказчика по подготовке объекта перед началом работ.</t>
  </si>
  <si>
    <t>Включение резерва времени и бюджета, формализация процесса согласования дополнительных работ.</t>
  </si>
  <si>
    <t>Заключение контрактов с фиксированной ценой или предусмотрение индексации.</t>
  </si>
  <si>
    <t>Введение системы контроля качества, регулярные проверки.</t>
  </si>
  <si>
    <t>Внедрение системы мотивации, четкие KPI.</t>
  </si>
  <si>
    <t>Создание базы знаний, документация всех ключевых процессов.</t>
  </si>
  <si>
    <t>Проведение тестирования совместимости оборудования на ранних этапах.</t>
  </si>
  <si>
    <t>Разработка прототипов, поэтапное тестирование алгоритмов.</t>
  </si>
  <si>
    <t>Закладка резервных ресурсов, оперативная техническая поддержка.</t>
  </si>
  <si>
    <t>Работа с несколькими поставщиками, закупка критичных компонентов заранее.</t>
  </si>
  <si>
    <t>Проведение обучающих программ, демонстрация преимуществ системы.</t>
  </si>
  <si>
    <t>Многоступенчатое тестирование перед запуском, детальная документация.</t>
  </si>
  <si>
    <t>Switch №</t>
  </si>
  <si>
    <t>BID</t>
  </si>
  <si>
    <t>PID</t>
  </si>
  <si>
    <t>Стоимость порта</t>
  </si>
  <si>
    <t>RPC</t>
  </si>
  <si>
    <t>Приоритет моста</t>
  </si>
  <si>
    <t>МАС моста</t>
  </si>
  <si>
    <t>Приоритет порта</t>
  </si>
  <si>
    <t>Номер порта</t>
  </si>
  <si>
    <t>6      Root</t>
  </si>
  <si>
    <t>1C:B5:53:8C:01:50</t>
  </si>
  <si>
    <t>1C:B5:53:8C:01:51</t>
  </si>
  <si>
    <t>0+2=2</t>
  </si>
  <si>
    <t>1C:B5:53:8C:01:52</t>
  </si>
  <si>
    <t>2+4=6</t>
  </si>
  <si>
    <t>1C:B5:53:8C:01:53</t>
  </si>
  <si>
    <t>0+4=4</t>
  </si>
  <si>
    <t>Выгода владельца</t>
  </si>
  <si>
    <t>Выгода клиента</t>
  </si>
  <si>
    <t>Выше доход, если выше вероятность обслуживания</t>
  </si>
  <si>
    <t>Чем выше вероятность, тем меньше отказов</t>
  </si>
  <si>
    <t>Больше заявок — выше прибыль</t>
  </si>
  <si>
    <t>Быстрее проходит обслуживание</t>
  </si>
  <si>
    <t>Потеря прибыли из-за отказов</t>
  </si>
  <si>
    <t>Риск остаться без обслуживания</t>
  </si>
  <si>
    <t>Низкая загрузка — потеря ресурса</t>
  </si>
  <si>
    <t>Меньше очереди</t>
  </si>
  <si>
    <t>Высокая загрузка увеличивает прибыль</t>
  </si>
  <si>
    <t>Эффективное использование мощностей</t>
  </si>
  <si>
    <t>Меньше простаивающих заявок</t>
  </si>
  <si>
    <t>Высокий простой — потери</t>
  </si>
  <si>
    <t>Чем ниже, тем быстрее обслуживание</t>
  </si>
  <si>
    <t>Аналогично первому КО</t>
  </si>
  <si>
    <t>Аналогично</t>
  </si>
  <si>
    <t>Низкие очереди — потери ресурсов</t>
  </si>
  <si>
    <t>Клиенты сразу получают услугу</t>
  </si>
  <si>
    <t>Стабильная нагрузка</t>
  </si>
  <si>
    <t>Ожидание в пределах нормы</t>
  </si>
  <si>
    <t>Возможность роста прибыли</t>
  </si>
  <si>
    <t>Риск долгого ожидания</t>
  </si>
  <si>
    <t>Очередь загружена, но без отказов</t>
  </si>
  <si>
    <t>Долгое ожидание</t>
  </si>
  <si>
    <t>Умеренная очередь — высокая эффективность</t>
  </si>
  <si>
    <t>Чем меньше, тем лучше</t>
  </si>
  <si>
    <t>Меньше времени в очереди — выше throughput</t>
  </si>
  <si>
    <t>Клиенты тратят меньше времени</t>
  </si>
  <si>
    <t>Быстрее обслуживание — выше доход</t>
  </si>
  <si>
    <t>Чем меньше время, тем удобнее</t>
  </si>
  <si>
    <t>Чем меньше, тем быстрее поток заявок</t>
  </si>
  <si>
    <t>Клиент тратит меньше времени</t>
  </si>
  <si>
    <t>Оптимально при умеренных значениях</t>
  </si>
  <si>
    <t>Высокие значения — долгие очереди</t>
  </si>
  <si>
    <t xml:space="preserve">Оптимальным количеством мест в очереди является 3МО, так как система показывает наилучшие показатели при допустимых потерях.
Максимальная вероятность обслуживания – 82,1%, что означает, что большинство клиентов получат услугу без отказов.
Пропускная способность достигает 9,002 заявки/час, что является наибольшим значением среди всех вариантов, увеличивая доход владельца.
Вероятность отказа минимальна – всего 19,4%, что означает, что лишь небольшая часть клиентов останется без обслуживания.
Очереди присутствуют, но управляемы – среднее количество заявок в очереди 1,391, вероятность наличия 3 заявок в очереди 22,5%, но это допустимо, так как клиенты все равно обслуживаются.
Среднее время ожидания остается в приемлемых пределах (0,067 единиц времени), а время нахождения заявки в системе лишь немного больше, чем при 2МО.
Таким образом, 3МО – наилучший баланс между высокой пропускной способностью, максимизацией прибыли и сохранением удовлетворенности клиентов.
</t>
  </si>
  <si>
    <t>K</t>
  </si>
  <si>
    <t>медианное</t>
  </si>
  <si>
    <t>средняя</t>
  </si>
  <si>
    <t>мода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</si>
</sst>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.5"/>
      <color rgb="FF000000"/>
      <name val="Times New Roman"/>
      <family val="1"/>
      <charset val="204"/>
    </font>
    <font>
      <sz val="10.5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5" tint="-0.249977111117893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rgb="FF000000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rgb="FF000000"/>
      </top>
      <bottom/>
      <diagonal/>
    </border>
    <border>
      <left style="medium">
        <color indexed="64"/>
      </left>
      <right style="thick">
        <color indexed="64"/>
      </right>
      <top style="thick">
        <color rgb="FF000000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medium">
        <color rgb="FF000000"/>
      </top>
      <bottom/>
      <diagonal/>
    </border>
    <border>
      <left style="medium">
        <color indexed="64"/>
      </left>
      <right style="thick">
        <color indexed="64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vertical="center" wrapText="1"/>
    </xf>
    <xf numFmtId="0" fontId="0" fillId="0" borderId="4" xfId="0" applyBorder="1"/>
    <xf numFmtId="49" fontId="2" fillId="0" borderId="7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41" xfId="0" applyBorder="1" applyAlignment="1">
      <alignment horizontal="left" vertical="top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v>теория</c:v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Лист4!$B$1:$B$11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Лист4!$H$1:$H$11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0-43AD-B834-C5C3EF96A2AC}"/>
            </c:ext>
          </c:extLst>
        </c:ser>
        <c:ser>
          <c:idx val="1"/>
          <c:order val="1"/>
          <c:tx>
            <c:v>практика</c:v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Лист4!$B$1:$B$11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cat>
          <c:val>
            <c:numRef>
              <c:f>Лист4!$G$1:$G$11</c:f>
              <c:numCache>
                <c:formatCode>General</c:formatCode>
                <c:ptCount val="11"/>
                <c:pt idx="0">
                  <c:v>0</c:v>
                </c:pt>
                <c:pt idx="1">
                  <c:v>0.01</c:v>
                </c:pt>
                <c:pt idx="2">
                  <c:v>0.03</c:v>
                </c:pt>
                <c:pt idx="3">
                  <c:v>0.06</c:v>
                </c:pt>
                <c:pt idx="4">
                  <c:v>0.1</c:v>
                </c:pt>
                <c:pt idx="5">
                  <c:v>0.15000000000000002</c:v>
                </c:pt>
                <c:pt idx="6">
                  <c:v>0.25</c:v>
                </c:pt>
                <c:pt idx="7">
                  <c:v>0.35</c:v>
                </c:pt>
                <c:pt idx="8">
                  <c:v>0.5</c:v>
                </c:pt>
                <c:pt idx="9">
                  <c:v>0.7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B0-43AD-B834-C5C3EF96A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285247"/>
        <c:axId val="1730286687"/>
      </c:areaChart>
      <c:catAx>
        <c:axId val="17302852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0286687"/>
        <c:crosses val="autoZero"/>
        <c:auto val="1"/>
        <c:lblAlgn val="ctr"/>
        <c:lblOffset val="100"/>
        <c:tickLblSkip val="1"/>
        <c:noMultiLvlLbl val="0"/>
      </c:catAx>
      <c:valAx>
        <c:axId val="17302866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3028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13</xdr:row>
      <xdr:rowOff>179070</xdr:rowOff>
    </xdr:from>
    <xdr:to>
      <xdr:col>17</xdr:col>
      <xdr:colOff>556260</xdr:colOff>
      <xdr:row>33</xdr:row>
      <xdr:rowOff>60960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0C79EA8-2BB0-3448-1E69-E31D6343C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F121E-7A5D-4BB1-AEF6-E7DE22AC7A8C}">
  <dimension ref="A1:P117"/>
  <sheetViews>
    <sheetView topLeftCell="B1" workbookViewId="0">
      <selection activeCell="B1" sqref="B1:H21"/>
    </sheetView>
  </sheetViews>
  <sheetFormatPr defaultColWidth="18.109375" defaultRowHeight="14.4" x14ac:dyDescent="0.3"/>
  <cols>
    <col min="1" max="1" width="4.109375" style="1" customWidth="1"/>
    <col min="2" max="2" width="24" style="2" customWidth="1"/>
  </cols>
  <sheetData>
    <row r="1" spans="1:16" ht="36.6" customHeight="1" thickBot="1" x14ac:dyDescent="0.35">
      <c r="C1" s="3" t="s">
        <v>0</v>
      </c>
      <c r="D1" s="4"/>
      <c r="E1" s="4"/>
      <c r="F1" s="5"/>
      <c r="G1" s="6"/>
      <c r="H1" s="6"/>
    </row>
    <row r="2" spans="1:16" ht="36.6" customHeight="1" thickBot="1" x14ac:dyDescent="0.35">
      <c r="C2" s="7" t="s">
        <v>1</v>
      </c>
      <c r="D2" s="7" t="s">
        <v>2</v>
      </c>
      <c r="E2" s="7" t="s">
        <v>3</v>
      </c>
      <c r="F2" s="7" t="s">
        <v>4</v>
      </c>
      <c r="G2" s="8"/>
      <c r="H2" s="9"/>
      <c r="I2" s="10"/>
    </row>
    <row r="3" spans="1:16" ht="36.6" customHeight="1" thickBot="1" x14ac:dyDescent="0.35">
      <c r="A3" s="11" t="s">
        <v>5</v>
      </c>
      <c r="B3" s="12" t="s">
        <v>6</v>
      </c>
      <c r="C3" s="13" t="s">
        <v>7</v>
      </c>
      <c r="D3" s="14"/>
      <c r="E3" s="15"/>
      <c r="F3" s="16"/>
      <c r="G3" s="25" t="s">
        <v>305</v>
      </c>
      <c r="H3" s="25" t="s">
        <v>306</v>
      </c>
      <c r="I3" s="18" t="s">
        <v>10</v>
      </c>
      <c r="J3" s="25"/>
      <c r="K3" s="25"/>
      <c r="L3" s="25"/>
      <c r="M3" s="25"/>
      <c r="N3" s="25"/>
      <c r="O3" s="25"/>
      <c r="P3" s="25"/>
    </row>
    <row r="4" spans="1:16" ht="36.6" customHeight="1" thickBot="1" x14ac:dyDescent="0.35">
      <c r="A4" s="19">
        <v>1</v>
      </c>
      <c r="B4" s="20" t="s">
        <v>11</v>
      </c>
      <c r="C4" s="21">
        <v>0.49299999999999999</v>
      </c>
      <c r="D4" s="21">
        <v>0.63400000000000001</v>
      </c>
      <c r="E4" s="21">
        <v>0.65700000000000003</v>
      </c>
      <c r="F4" s="21">
        <v>0.82099999999999995</v>
      </c>
      <c r="G4" s="6" t="s">
        <v>307</v>
      </c>
      <c r="H4" s="6" t="s">
        <v>308</v>
      </c>
      <c r="I4" s="10"/>
      <c r="J4" s="27"/>
      <c r="K4" s="6"/>
      <c r="L4" s="6"/>
      <c r="M4" s="6"/>
      <c r="N4" s="6"/>
      <c r="O4" s="6"/>
      <c r="P4" s="6"/>
    </row>
    <row r="5" spans="1:16" ht="36.6" customHeight="1" thickBot="1" x14ac:dyDescent="0.35">
      <c r="A5" s="19">
        <v>2</v>
      </c>
      <c r="B5" s="12" t="s">
        <v>12</v>
      </c>
      <c r="C5" s="21">
        <v>5.5640000000000001</v>
      </c>
      <c r="D5" s="21">
        <v>6.96</v>
      </c>
      <c r="E5" s="21">
        <v>7.3319999999999999</v>
      </c>
      <c r="F5" s="21">
        <v>9.0020000000000007</v>
      </c>
      <c r="G5" s="6" t="s">
        <v>309</v>
      </c>
      <c r="H5" s="6" t="s">
        <v>310</v>
      </c>
      <c r="I5" s="10"/>
      <c r="J5" s="27"/>
      <c r="K5" s="6"/>
      <c r="L5" s="6"/>
      <c r="M5" s="6"/>
      <c r="N5" s="6"/>
      <c r="O5" s="6"/>
      <c r="P5" s="6"/>
    </row>
    <row r="6" spans="1:16" ht="36.6" customHeight="1" thickBot="1" x14ac:dyDescent="0.35">
      <c r="A6" s="19">
        <v>3</v>
      </c>
      <c r="B6" s="12" t="s">
        <v>13</v>
      </c>
      <c r="C6" s="21">
        <v>0.50700000000000001</v>
      </c>
      <c r="D6" s="21">
        <v>0.36599999999999999</v>
      </c>
      <c r="E6" s="21">
        <v>0.34300000000000003</v>
      </c>
      <c r="F6" s="21">
        <v>0.19400000000000001</v>
      </c>
      <c r="G6" s="6" t="s">
        <v>311</v>
      </c>
      <c r="H6" s="6" t="s">
        <v>312</v>
      </c>
      <c r="I6" s="10"/>
      <c r="J6" s="27"/>
      <c r="K6" s="6"/>
      <c r="L6" s="6"/>
      <c r="M6" s="6"/>
      <c r="N6" s="6"/>
      <c r="O6" s="6"/>
      <c r="P6" s="6"/>
    </row>
    <row r="7" spans="1:16" ht="36.6" customHeight="1" thickBot="1" x14ac:dyDescent="0.35">
      <c r="A7" s="19">
        <v>4</v>
      </c>
      <c r="B7" s="22" t="s">
        <v>14</v>
      </c>
      <c r="C7" s="21">
        <v>0.35842535614937099</v>
      </c>
      <c r="D7" s="21">
        <v>0.281035047494268</v>
      </c>
      <c r="E7" s="21">
        <v>0.13856023996000599</v>
      </c>
      <c r="F7" s="21">
        <v>0.109410801963993</v>
      </c>
      <c r="G7" s="6" t="s">
        <v>313</v>
      </c>
      <c r="H7" s="6" t="s">
        <v>314</v>
      </c>
      <c r="I7" s="10"/>
      <c r="J7" s="27"/>
      <c r="K7" s="6"/>
      <c r="L7" s="6"/>
      <c r="M7" s="6"/>
      <c r="N7" s="6"/>
      <c r="O7" s="6"/>
      <c r="P7" s="6"/>
    </row>
    <row r="8" spans="1:16" ht="36.6" customHeight="1" thickBot="1" x14ac:dyDescent="0.35">
      <c r="A8" s="19">
        <v>5</v>
      </c>
      <c r="B8" s="22" t="s">
        <v>15</v>
      </c>
      <c r="C8" s="21">
        <v>0.55685745595549196</v>
      </c>
      <c r="D8" s="21">
        <v>0.63216508352440204</v>
      </c>
      <c r="E8" s="21">
        <v>0.82661223129478401</v>
      </c>
      <c r="F8" s="21">
        <v>0.87283142389525303</v>
      </c>
      <c r="G8" s="6" t="s">
        <v>315</v>
      </c>
      <c r="H8" s="6" t="s">
        <v>170</v>
      </c>
      <c r="I8" s="10"/>
      <c r="J8" s="27"/>
      <c r="K8" s="6"/>
      <c r="L8" s="6"/>
      <c r="M8" s="6"/>
      <c r="N8" s="6"/>
      <c r="O8" s="6"/>
      <c r="P8" s="6"/>
    </row>
    <row r="9" spans="1:16" ht="36.6" customHeight="1" thickBot="1" x14ac:dyDescent="0.35">
      <c r="A9" s="19">
        <v>6</v>
      </c>
      <c r="B9" s="12" t="s">
        <v>16</v>
      </c>
      <c r="C9" s="21">
        <v>1.4721402680603499</v>
      </c>
      <c r="D9" s="21">
        <v>1.5453652145430701</v>
      </c>
      <c r="E9" s="21">
        <v>1.7917847025495699</v>
      </c>
      <c r="F9" s="21">
        <v>1.8550736497545</v>
      </c>
      <c r="G9" s="6" t="s">
        <v>316</v>
      </c>
      <c r="H9" s="6" t="s">
        <v>317</v>
      </c>
      <c r="I9" s="10"/>
      <c r="J9" s="27"/>
      <c r="K9" s="6"/>
      <c r="L9" s="6"/>
      <c r="M9" s="6"/>
      <c r="N9" s="6"/>
      <c r="O9" s="6"/>
      <c r="P9" s="6"/>
    </row>
    <row r="10" spans="1:16" ht="36.6" customHeight="1" thickBot="1" x14ac:dyDescent="0.35">
      <c r="A10" s="19">
        <v>7</v>
      </c>
      <c r="B10" s="22" t="s">
        <v>17</v>
      </c>
      <c r="C10" s="21">
        <v>0.32597150805024</v>
      </c>
      <c r="D10" s="21">
        <v>0.30306256141500099</v>
      </c>
      <c r="E10" s="21">
        <v>7.5237460423262403E-2</v>
      </c>
      <c r="F10" s="21">
        <v>6.1211129296235497E-2</v>
      </c>
      <c r="G10" s="6" t="s">
        <v>318</v>
      </c>
      <c r="H10" s="6" t="s">
        <v>319</v>
      </c>
      <c r="I10" s="10"/>
      <c r="J10" s="27"/>
      <c r="K10" s="6"/>
      <c r="L10" s="6"/>
      <c r="M10" s="6"/>
      <c r="N10" s="6"/>
      <c r="O10" s="6"/>
      <c r="P10" s="6"/>
    </row>
    <row r="11" spans="1:16" ht="36.6" customHeight="1" thickBot="1" x14ac:dyDescent="0.35">
      <c r="A11" s="19">
        <v>8</v>
      </c>
      <c r="B11" s="22" t="s">
        <v>18</v>
      </c>
      <c r="C11" s="21">
        <v>0.201888223889404</v>
      </c>
      <c r="D11" s="21">
        <v>0.151572224041925</v>
      </c>
      <c r="E11" s="21">
        <v>0.13297783702716201</v>
      </c>
      <c r="F11" s="21">
        <v>8.3715220949263397E-2</v>
      </c>
      <c r="G11" s="6" t="s">
        <v>320</v>
      </c>
      <c r="H11" s="6" t="s">
        <v>321</v>
      </c>
      <c r="I11" s="10"/>
      <c r="J11" s="27"/>
      <c r="K11" s="6"/>
      <c r="L11" s="6"/>
      <c r="M11" s="6"/>
      <c r="N11" s="6"/>
      <c r="O11" s="6"/>
      <c r="P11" s="6"/>
    </row>
    <row r="12" spans="1:16" ht="36.6" customHeight="1" thickBot="1" x14ac:dyDescent="0.35">
      <c r="A12" s="19">
        <v>9</v>
      </c>
      <c r="B12" s="22" t="s">
        <v>19</v>
      </c>
      <c r="C12" s="21">
        <v>0.201888223889404</v>
      </c>
      <c r="D12" s="21">
        <v>0.151572224041925</v>
      </c>
      <c r="E12" s="21">
        <v>0.13297783702716201</v>
      </c>
      <c r="F12" s="21">
        <v>8.3715220949263397E-2</v>
      </c>
      <c r="G12" s="6"/>
      <c r="H12" s="6"/>
      <c r="I12" s="10"/>
      <c r="J12" s="27"/>
      <c r="K12" s="6"/>
      <c r="L12" s="6"/>
      <c r="M12" s="6"/>
      <c r="N12" s="6"/>
      <c r="O12" s="6"/>
      <c r="P12" s="6"/>
    </row>
    <row r="13" spans="1:16" ht="36.6" customHeight="1" thickBot="1" x14ac:dyDescent="0.35">
      <c r="A13" s="19">
        <v>10</v>
      </c>
      <c r="B13" s="22" t="s">
        <v>20</v>
      </c>
      <c r="C13" s="21">
        <v>1</v>
      </c>
      <c r="D13" s="21">
        <v>0.65348619560131005</v>
      </c>
      <c r="E13" s="21">
        <v>0.37337314346960598</v>
      </c>
      <c r="F13" s="21">
        <v>0.30808002481389501</v>
      </c>
      <c r="G13" s="6" t="s">
        <v>322</v>
      </c>
      <c r="H13" s="6" t="s">
        <v>323</v>
      </c>
      <c r="I13" s="10"/>
      <c r="J13" s="27"/>
      <c r="K13" s="6"/>
      <c r="L13" s="6"/>
      <c r="M13" s="6"/>
      <c r="N13" s="6"/>
      <c r="O13" s="6"/>
      <c r="P13" s="6"/>
    </row>
    <row r="14" spans="1:16" ht="36.6" customHeight="1" thickBot="1" x14ac:dyDescent="0.35">
      <c r="A14" s="19">
        <v>11</v>
      </c>
      <c r="B14" s="22" t="s">
        <v>21</v>
      </c>
      <c r="C14" s="21">
        <v>0</v>
      </c>
      <c r="D14" s="21">
        <v>0.34651380439868901</v>
      </c>
      <c r="E14" s="21">
        <v>0.27530240391976601</v>
      </c>
      <c r="F14" s="21">
        <v>0.21789702233250599</v>
      </c>
      <c r="G14" s="6" t="s">
        <v>324</v>
      </c>
      <c r="H14" s="6" t="s">
        <v>325</v>
      </c>
      <c r="I14" s="10"/>
      <c r="J14" s="27"/>
      <c r="K14" s="6"/>
      <c r="L14" s="6"/>
      <c r="M14" s="6"/>
      <c r="N14" s="6"/>
      <c r="O14" s="6"/>
      <c r="P14" s="6"/>
    </row>
    <row r="15" spans="1:16" ht="36.6" customHeight="1" thickBot="1" x14ac:dyDescent="0.35">
      <c r="A15" s="19">
        <v>12</v>
      </c>
      <c r="B15" s="12" t="s">
        <v>22</v>
      </c>
      <c r="C15" s="21">
        <v>0</v>
      </c>
      <c r="D15" s="21">
        <v>0</v>
      </c>
      <c r="E15" s="21">
        <v>0</v>
      </c>
      <c r="F15" s="21">
        <v>0.249379652605459</v>
      </c>
      <c r="G15" s="6" t="s">
        <v>326</v>
      </c>
      <c r="H15" s="6" t="s">
        <v>327</v>
      </c>
      <c r="I15" s="10"/>
      <c r="J15" s="27"/>
      <c r="K15" s="6"/>
      <c r="L15" s="6"/>
      <c r="M15" s="6"/>
      <c r="N15" s="6"/>
      <c r="O15" s="6"/>
      <c r="P15" s="6"/>
    </row>
    <row r="16" spans="1:16" ht="36.6" customHeight="1" thickBot="1" x14ac:dyDescent="0.35">
      <c r="A16" s="19">
        <v>13</v>
      </c>
      <c r="B16" s="23" t="s">
        <v>23</v>
      </c>
      <c r="C16" s="21">
        <v>0</v>
      </c>
      <c r="D16" s="21">
        <v>0</v>
      </c>
      <c r="E16" s="21">
        <v>0.351324452610626</v>
      </c>
      <c r="F16" s="21">
        <v>0.224643300248138</v>
      </c>
      <c r="G16" s="6" t="s">
        <v>328</v>
      </c>
      <c r="H16" s="6" t="s">
        <v>329</v>
      </c>
      <c r="I16" s="10"/>
      <c r="J16" s="27"/>
      <c r="K16" s="6"/>
      <c r="L16" s="6"/>
      <c r="M16" s="6"/>
      <c r="N16" s="6"/>
      <c r="O16" s="6"/>
      <c r="P16" s="6"/>
    </row>
    <row r="17" spans="1:16" ht="36.6" customHeight="1" thickBot="1" x14ac:dyDescent="0.35">
      <c r="A17" s="19">
        <v>14</v>
      </c>
      <c r="B17" s="12" t="s">
        <v>24</v>
      </c>
      <c r="C17" s="21">
        <v>0</v>
      </c>
      <c r="D17" s="21">
        <v>0.34651380439868901</v>
      </c>
      <c r="E17" s="21">
        <v>0.97795130914102002</v>
      </c>
      <c r="F17" s="21">
        <v>1.3905862282878401</v>
      </c>
      <c r="G17" s="6" t="s">
        <v>330</v>
      </c>
      <c r="H17" s="6" t="s">
        <v>331</v>
      </c>
      <c r="I17" s="10"/>
      <c r="J17" s="27"/>
      <c r="K17" s="6"/>
      <c r="L17" s="6"/>
      <c r="M17" s="6"/>
      <c r="N17" s="6"/>
      <c r="O17" s="6"/>
      <c r="P17" s="6"/>
    </row>
    <row r="18" spans="1:16" ht="36.6" customHeight="1" thickBot="1" x14ac:dyDescent="0.35">
      <c r="A18" s="19">
        <v>15</v>
      </c>
      <c r="B18" s="24" t="s">
        <v>25</v>
      </c>
      <c r="C18" s="21">
        <v>0</v>
      </c>
      <c r="D18" s="21">
        <v>3.3156716417910397E-2</v>
      </c>
      <c r="E18" s="21">
        <v>6.1082089552238802E-2</v>
      </c>
      <c r="F18" s="21">
        <v>6.6589552238805902E-2</v>
      </c>
      <c r="G18" s="6" t="s">
        <v>332</v>
      </c>
      <c r="H18" s="6" t="s">
        <v>333</v>
      </c>
      <c r="I18" s="10"/>
      <c r="J18" s="27"/>
      <c r="K18" s="6"/>
      <c r="L18" s="6"/>
      <c r="M18" s="6"/>
      <c r="N18" s="6"/>
      <c r="O18" s="6"/>
      <c r="P18" s="6"/>
    </row>
    <row r="19" spans="1:16" ht="36.6" customHeight="1" thickBot="1" x14ac:dyDescent="0.35">
      <c r="A19" s="19">
        <v>16</v>
      </c>
      <c r="B19" s="12" t="s">
        <v>26</v>
      </c>
      <c r="C19" s="21">
        <v>0.16205970149253701</v>
      </c>
      <c r="D19" s="21">
        <v>0.13120000000000001</v>
      </c>
      <c r="E19" s="21">
        <v>0.128711111111111</v>
      </c>
      <c r="F19" s="21">
        <v>0.109118181818181</v>
      </c>
      <c r="G19" s="6" t="s">
        <v>334</v>
      </c>
      <c r="H19" s="6" t="s">
        <v>335</v>
      </c>
      <c r="I19" s="10"/>
      <c r="J19" s="27"/>
      <c r="K19" s="6"/>
      <c r="L19" s="6"/>
      <c r="M19" s="6"/>
      <c r="N19" s="6"/>
      <c r="O19" s="6"/>
      <c r="P19" s="6"/>
    </row>
    <row r="20" spans="1:16" ht="36.6" customHeight="1" thickBot="1" x14ac:dyDescent="0.35">
      <c r="A20" s="19">
        <v>17</v>
      </c>
      <c r="B20" s="24" t="s">
        <v>27</v>
      </c>
      <c r="C20" s="21">
        <v>0.16205970149253701</v>
      </c>
      <c r="D20" s="21">
        <v>0.16435671641791</v>
      </c>
      <c r="E20" s="21">
        <v>0.18979320066334901</v>
      </c>
      <c r="F20" s="21">
        <v>0.175707734056987</v>
      </c>
      <c r="G20" s="6" t="s">
        <v>336</v>
      </c>
      <c r="H20" s="6" t="s">
        <v>337</v>
      </c>
      <c r="I20" s="10"/>
      <c r="J20" s="27"/>
      <c r="K20" s="6"/>
      <c r="L20" s="6"/>
      <c r="M20" s="6"/>
      <c r="N20" s="6"/>
      <c r="O20" s="6"/>
      <c r="P20" s="6"/>
    </row>
    <row r="21" spans="1:16" ht="36.6" customHeight="1" thickBot="1" x14ac:dyDescent="0.35">
      <c r="A21" s="15">
        <v>18</v>
      </c>
      <c r="B21" s="12" t="s">
        <v>24</v>
      </c>
      <c r="C21" s="21">
        <v>1.42397931945263</v>
      </c>
      <c r="D21" s="21">
        <v>1.9416966917785701</v>
      </c>
      <c r="E21" s="21">
        <v>2.8889074043214999</v>
      </c>
      <c r="F21" s="21">
        <v>3.2820512820512802</v>
      </c>
      <c r="G21" s="6" t="s">
        <v>338</v>
      </c>
      <c r="H21" s="6" t="s">
        <v>339</v>
      </c>
      <c r="I21" s="10"/>
      <c r="J21" s="27"/>
      <c r="K21" s="6"/>
      <c r="L21" s="6"/>
      <c r="M21" s="6"/>
      <c r="N21" s="6"/>
      <c r="O21" s="6"/>
      <c r="P21" s="6"/>
    </row>
    <row r="22" spans="1:16" ht="162.6" customHeight="1" x14ac:dyDescent="0.3">
      <c r="C22" s="49" t="s">
        <v>340</v>
      </c>
      <c r="D22" s="49"/>
      <c r="E22" s="49"/>
      <c r="F22" s="49"/>
    </row>
    <row r="23" spans="1:16" ht="184.8" customHeight="1" thickBot="1" x14ac:dyDescent="0.35">
      <c r="C23" s="50"/>
      <c r="D23" s="50"/>
      <c r="E23" s="50"/>
      <c r="F23" s="50"/>
    </row>
    <row r="24" spans="1:16" ht="36.6" customHeight="1" thickBot="1" x14ac:dyDescent="0.35">
      <c r="C24" s="3" t="s">
        <v>0</v>
      </c>
      <c r="D24" s="4" t="s">
        <v>28</v>
      </c>
      <c r="E24" s="4"/>
      <c r="F24" s="5"/>
      <c r="G24" s="6"/>
      <c r="H24" s="6"/>
    </row>
    <row r="25" spans="1:16" ht="36.6" customHeight="1" thickBot="1" x14ac:dyDescent="0.35">
      <c r="C25" s="7" t="s">
        <v>1</v>
      </c>
      <c r="D25" s="8" t="s">
        <v>29</v>
      </c>
      <c r="E25" s="9"/>
      <c r="F25" s="10"/>
    </row>
    <row r="26" spans="1:16" ht="36.6" customHeight="1" thickBot="1" x14ac:dyDescent="0.35">
      <c r="A26" s="11" t="s">
        <v>5</v>
      </c>
      <c r="B26" s="12" t="s">
        <v>6</v>
      </c>
      <c r="C26" s="13" t="s">
        <v>7</v>
      </c>
      <c r="D26" s="47" t="s">
        <v>8</v>
      </c>
      <c r="E26" s="47" t="s">
        <v>9</v>
      </c>
      <c r="F26" s="48" t="s">
        <v>10</v>
      </c>
      <c r="G26" s="25"/>
      <c r="H26" s="25"/>
      <c r="I26" s="25"/>
    </row>
    <row r="27" spans="1:16" ht="42" customHeight="1" thickBot="1" x14ac:dyDescent="0.35">
      <c r="A27" s="19">
        <v>1</v>
      </c>
      <c r="B27" s="20" t="s">
        <v>11</v>
      </c>
      <c r="C27" s="46">
        <v>0.49299999999999999</v>
      </c>
      <c r="D27" s="30" t="s">
        <v>33</v>
      </c>
      <c r="E27" s="30" t="s">
        <v>34</v>
      </c>
      <c r="F27" s="30" t="s">
        <v>35</v>
      </c>
      <c r="G27" s="6"/>
      <c r="H27" s="6"/>
      <c r="I27" s="6"/>
      <c r="J27" s="25"/>
      <c r="K27" s="25"/>
      <c r="L27" s="25"/>
    </row>
    <row r="28" spans="1:16" ht="42" customHeight="1" thickBot="1" x14ac:dyDescent="0.35">
      <c r="A28" s="19">
        <v>2</v>
      </c>
      <c r="B28" s="12" t="s">
        <v>12</v>
      </c>
      <c r="C28" s="46">
        <v>5.5640000000000001</v>
      </c>
      <c r="D28" s="30" t="s">
        <v>36</v>
      </c>
      <c r="E28" s="30" t="s">
        <v>37</v>
      </c>
      <c r="F28" s="30" t="s">
        <v>38</v>
      </c>
      <c r="G28" s="6"/>
      <c r="H28" s="6"/>
      <c r="I28" s="6"/>
      <c r="J28" s="6"/>
      <c r="K28" s="6"/>
      <c r="L28" s="6"/>
    </row>
    <row r="29" spans="1:16" ht="42" customHeight="1" thickBot="1" x14ac:dyDescent="0.35">
      <c r="A29" s="19">
        <v>3</v>
      </c>
      <c r="B29" s="12" t="s">
        <v>13</v>
      </c>
      <c r="C29" s="46">
        <v>0.50700000000000001</v>
      </c>
      <c r="D29" s="30" t="s">
        <v>39</v>
      </c>
      <c r="E29" s="30" t="s">
        <v>40</v>
      </c>
      <c r="F29" s="30" t="s">
        <v>41</v>
      </c>
      <c r="G29" s="6"/>
      <c r="H29" s="6"/>
      <c r="I29" s="6"/>
      <c r="J29" s="6"/>
      <c r="K29" s="6"/>
      <c r="L29" s="6"/>
    </row>
    <row r="30" spans="1:16" ht="42" customHeight="1" thickBot="1" x14ac:dyDescent="0.35">
      <c r="A30" s="19">
        <v>4</v>
      </c>
      <c r="B30" s="22" t="s">
        <v>14</v>
      </c>
      <c r="C30" s="46">
        <v>0.35842535614937099</v>
      </c>
      <c r="D30" s="30" t="s">
        <v>42</v>
      </c>
      <c r="E30" s="30" t="s">
        <v>43</v>
      </c>
      <c r="F30" s="30" t="s">
        <v>44</v>
      </c>
      <c r="G30" s="6"/>
      <c r="H30" s="6"/>
      <c r="I30" s="6"/>
      <c r="J30" s="6"/>
      <c r="K30" s="6"/>
      <c r="L30" s="6"/>
    </row>
    <row r="31" spans="1:16" ht="42" customHeight="1" thickBot="1" x14ac:dyDescent="0.35">
      <c r="A31" s="19">
        <v>5</v>
      </c>
      <c r="B31" s="22" t="s">
        <v>15</v>
      </c>
      <c r="C31" s="46">
        <v>0.55685745595549196</v>
      </c>
      <c r="D31" s="30" t="s">
        <v>45</v>
      </c>
      <c r="E31" s="30" t="s">
        <v>46</v>
      </c>
      <c r="F31" s="30" t="s">
        <v>47</v>
      </c>
      <c r="G31" s="6"/>
      <c r="H31" s="6"/>
      <c r="I31" s="6"/>
      <c r="J31" s="6"/>
      <c r="K31" s="6"/>
      <c r="L31" s="6"/>
    </row>
    <row r="32" spans="1:16" ht="42" customHeight="1" thickBot="1" x14ac:dyDescent="0.35">
      <c r="A32" s="19">
        <v>6</v>
      </c>
      <c r="B32" s="12" t="s">
        <v>16</v>
      </c>
      <c r="C32" s="46">
        <v>1.4721402680603499</v>
      </c>
      <c r="D32" s="30" t="s">
        <v>48</v>
      </c>
      <c r="E32" s="30" t="s">
        <v>49</v>
      </c>
      <c r="F32" s="30" t="s">
        <v>50</v>
      </c>
      <c r="G32" s="6"/>
      <c r="H32" s="6"/>
      <c r="I32" s="6"/>
      <c r="J32" s="6"/>
      <c r="K32" s="6"/>
      <c r="L32" s="6"/>
    </row>
    <row r="33" spans="1:12" ht="42" customHeight="1" thickBot="1" x14ac:dyDescent="0.35">
      <c r="A33" s="19">
        <v>7</v>
      </c>
      <c r="B33" s="22" t="s">
        <v>17</v>
      </c>
      <c r="C33" s="46">
        <v>0.32597150805024</v>
      </c>
      <c r="D33" s="30" t="s">
        <v>51</v>
      </c>
      <c r="E33" s="30" t="s">
        <v>52</v>
      </c>
      <c r="F33" s="30" t="s">
        <v>53</v>
      </c>
      <c r="G33" s="6"/>
      <c r="H33" s="6"/>
      <c r="I33" s="6"/>
      <c r="J33" s="6"/>
      <c r="K33" s="6"/>
      <c r="L33" s="6"/>
    </row>
    <row r="34" spans="1:12" ht="42" customHeight="1" thickBot="1" x14ac:dyDescent="0.35">
      <c r="A34" s="19">
        <v>8</v>
      </c>
      <c r="B34" s="22" t="s">
        <v>18</v>
      </c>
      <c r="C34" s="46">
        <v>0.201888223889404</v>
      </c>
      <c r="D34" s="30" t="s">
        <v>54</v>
      </c>
      <c r="E34" s="30" t="s">
        <v>55</v>
      </c>
      <c r="F34" s="30" t="s">
        <v>56</v>
      </c>
      <c r="G34" s="6"/>
      <c r="H34" s="6"/>
      <c r="I34" s="6"/>
      <c r="J34" s="6"/>
      <c r="K34" s="6"/>
      <c r="L34" s="6"/>
    </row>
    <row r="35" spans="1:12" ht="42" customHeight="1" thickBot="1" x14ac:dyDescent="0.35">
      <c r="A35" s="19">
        <v>9</v>
      </c>
      <c r="B35" s="22" t="s">
        <v>19</v>
      </c>
      <c r="C35" s="46">
        <v>0.201888223889404</v>
      </c>
      <c r="D35" s="30" t="s">
        <v>57</v>
      </c>
      <c r="E35" s="30" t="s">
        <v>58</v>
      </c>
      <c r="F35" s="30" t="s">
        <v>59</v>
      </c>
      <c r="G35" s="6"/>
      <c r="H35" s="6"/>
      <c r="I35" s="6"/>
      <c r="J35" s="6"/>
      <c r="K35" s="6"/>
      <c r="L35" s="6"/>
    </row>
    <row r="36" spans="1:12" ht="42" customHeight="1" thickBot="1" x14ac:dyDescent="0.35">
      <c r="A36" s="19">
        <v>10</v>
      </c>
      <c r="B36" s="22" t="s">
        <v>20</v>
      </c>
      <c r="C36" s="46">
        <v>1</v>
      </c>
      <c r="D36" s="30" t="s">
        <v>60</v>
      </c>
      <c r="E36" s="30" t="s">
        <v>61</v>
      </c>
      <c r="F36" s="30" t="s">
        <v>62</v>
      </c>
      <c r="G36" s="6"/>
      <c r="H36" s="6"/>
      <c r="I36" s="6"/>
      <c r="J36" s="6"/>
      <c r="K36" s="6"/>
      <c r="L36" s="6"/>
    </row>
    <row r="37" spans="1:12" ht="42" customHeight="1" thickBot="1" x14ac:dyDescent="0.35">
      <c r="A37" s="19">
        <v>11</v>
      </c>
      <c r="B37" s="22" t="s">
        <v>21</v>
      </c>
      <c r="C37" s="46">
        <v>0</v>
      </c>
      <c r="D37" s="30" t="s">
        <v>43</v>
      </c>
      <c r="E37" s="30" t="s">
        <v>63</v>
      </c>
      <c r="F37" s="30" t="s">
        <v>64</v>
      </c>
      <c r="G37" s="6"/>
      <c r="H37" s="6"/>
      <c r="I37" s="6"/>
      <c r="J37" s="6"/>
      <c r="K37" s="6"/>
      <c r="L37" s="6"/>
    </row>
    <row r="38" spans="1:12" ht="42" customHeight="1" thickBot="1" x14ac:dyDescent="0.35">
      <c r="A38" s="19">
        <v>12</v>
      </c>
      <c r="B38" s="12" t="s">
        <v>22</v>
      </c>
      <c r="C38" s="46">
        <v>0</v>
      </c>
      <c r="D38" s="30" t="s">
        <v>43</v>
      </c>
      <c r="E38" s="30" t="s">
        <v>65</v>
      </c>
      <c r="F38" s="30" t="s">
        <v>66</v>
      </c>
      <c r="G38" s="6"/>
      <c r="H38" s="6"/>
      <c r="I38" s="6"/>
      <c r="J38" s="6"/>
      <c r="K38" s="6"/>
      <c r="L38" s="6"/>
    </row>
    <row r="39" spans="1:12" ht="42" customHeight="1" thickBot="1" x14ac:dyDescent="0.35">
      <c r="A39" s="19">
        <v>13</v>
      </c>
      <c r="B39" s="23" t="s">
        <v>23</v>
      </c>
      <c r="C39" s="46">
        <v>0</v>
      </c>
      <c r="D39" s="30" t="s">
        <v>43</v>
      </c>
      <c r="E39" s="30" t="s">
        <v>65</v>
      </c>
      <c r="F39" s="30" t="s">
        <v>67</v>
      </c>
      <c r="G39" s="6"/>
      <c r="H39" s="6"/>
      <c r="I39" s="6"/>
      <c r="J39" s="6"/>
      <c r="K39" s="6"/>
      <c r="L39" s="6"/>
    </row>
    <row r="40" spans="1:12" ht="42" customHeight="1" thickBot="1" x14ac:dyDescent="0.35">
      <c r="A40" s="19">
        <v>14</v>
      </c>
      <c r="B40" s="12" t="s">
        <v>24</v>
      </c>
      <c r="C40" s="46">
        <v>0</v>
      </c>
      <c r="D40" s="30" t="s">
        <v>68</v>
      </c>
      <c r="E40" s="30" t="s">
        <v>69</v>
      </c>
      <c r="F40" s="30" t="s">
        <v>70</v>
      </c>
      <c r="G40" s="6"/>
      <c r="H40" s="6"/>
      <c r="I40" s="6"/>
      <c r="J40" s="6"/>
      <c r="K40" s="6"/>
      <c r="L40" s="6"/>
    </row>
    <row r="41" spans="1:12" ht="42" customHeight="1" thickBot="1" x14ac:dyDescent="0.35">
      <c r="A41" s="19">
        <v>15</v>
      </c>
      <c r="B41" s="24" t="s">
        <v>25</v>
      </c>
      <c r="C41" s="46">
        <v>0</v>
      </c>
      <c r="D41" s="30" t="s">
        <v>71</v>
      </c>
      <c r="E41" s="30" t="s">
        <v>72</v>
      </c>
      <c r="F41" s="30" t="s">
        <v>73</v>
      </c>
      <c r="G41" s="6"/>
      <c r="H41" s="6"/>
      <c r="I41" s="6"/>
      <c r="J41" s="6"/>
      <c r="K41" s="6"/>
      <c r="L41" s="6"/>
    </row>
    <row r="42" spans="1:12" ht="42" customHeight="1" thickBot="1" x14ac:dyDescent="0.35">
      <c r="A42" s="19">
        <v>16</v>
      </c>
      <c r="B42" s="12" t="s">
        <v>26</v>
      </c>
      <c r="C42" s="46">
        <v>0.16205970149253701</v>
      </c>
      <c r="D42" s="30" t="s">
        <v>74</v>
      </c>
      <c r="E42" s="30" t="s">
        <v>75</v>
      </c>
      <c r="F42" s="30" t="s">
        <v>76</v>
      </c>
      <c r="G42" s="6"/>
      <c r="H42" s="6"/>
      <c r="I42" s="6"/>
      <c r="J42" s="6"/>
      <c r="K42" s="6"/>
      <c r="L42" s="6"/>
    </row>
    <row r="43" spans="1:12" ht="42" customHeight="1" thickBot="1" x14ac:dyDescent="0.35">
      <c r="A43" s="19">
        <v>17</v>
      </c>
      <c r="B43" s="24" t="s">
        <v>27</v>
      </c>
      <c r="C43" s="46">
        <v>0.16205970149253701</v>
      </c>
      <c r="D43" s="30" t="s">
        <v>77</v>
      </c>
      <c r="E43" s="30" t="s">
        <v>78</v>
      </c>
      <c r="F43" s="30" t="s">
        <v>79</v>
      </c>
      <c r="G43" s="6"/>
      <c r="H43" s="6"/>
      <c r="I43" s="6"/>
      <c r="J43" s="6"/>
      <c r="K43" s="6"/>
      <c r="L43" s="6"/>
    </row>
    <row r="44" spans="1:12" ht="42" customHeight="1" thickBot="1" x14ac:dyDescent="0.35">
      <c r="A44" s="15">
        <v>18</v>
      </c>
      <c r="B44" s="12" t="s">
        <v>24</v>
      </c>
      <c r="C44" s="46">
        <v>1.42397931945263</v>
      </c>
      <c r="D44" s="30" t="s">
        <v>80</v>
      </c>
      <c r="E44" s="30" t="s">
        <v>81</v>
      </c>
      <c r="F44" s="30" t="s">
        <v>82</v>
      </c>
      <c r="G44" s="6"/>
      <c r="H44" s="6"/>
      <c r="I44" s="6"/>
      <c r="J44" s="6"/>
      <c r="K44" s="6"/>
      <c r="L44" s="6"/>
    </row>
    <row r="45" spans="1:12" ht="36.6" customHeight="1" x14ac:dyDescent="0.3">
      <c r="D45" t="s">
        <v>83</v>
      </c>
      <c r="J45" s="6"/>
      <c r="K45" s="6"/>
      <c r="L45" s="6"/>
    </row>
    <row r="46" spans="1:12" ht="36.6" customHeight="1" thickBot="1" x14ac:dyDescent="0.35"/>
    <row r="47" spans="1:12" ht="36.6" customHeight="1" thickBot="1" x14ac:dyDescent="0.35">
      <c r="C47" s="3" t="s">
        <v>0</v>
      </c>
      <c r="D47" s="4" t="s">
        <v>30</v>
      </c>
      <c r="E47" s="4"/>
      <c r="F47" s="5"/>
      <c r="G47" s="6"/>
      <c r="H47" s="6"/>
    </row>
    <row r="48" spans="1:12" ht="36.6" customHeight="1" thickBot="1" x14ac:dyDescent="0.35">
      <c r="C48" s="7" t="s">
        <v>2</v>
      </c>
      <c r="D48" s="8" t="s">
        <v>29</v>
      </c>
      <c r="E48" s="9"/>
      <c r="F48" s="10"/>
    </row>
    <row r="49" spans="1:13" ht="36.6" customHeight="1" thickBot="1" x14ac:dyDescent="0.35">
      <c r="A49" s="11" t="s">
        <v>5</v>
      </c>
      <c r="B49" s="12" t="s">
        <v>6</v>
      </c>
      <c r="C49" s="13" t="s">
        <v>7</v>
      </c>
      <c r="D49" s="17" t="s">
        <v>8</v>
      </c>
      <c r="E49" s="17" t="s">
        <v>9</v>
      </c>
      <c r="F49" s="18" t="s">
        <v>10</v>
      </c>
      <c r="H49" s="25"/>
      <c r="I49" s="25"/>
    </row>
    <row r="50" spans="1:13" ht="36.6" customHeight="1" thickBot="1" x14ac:dyDescent="0.35">
      <c r="A50" s="19">
        <v>1</v>
      </c>
      <c r="B50" s="20" t="s">
        <v>11</v>
      </c>
      <c r="C50" s="21">
        <v>0.63400000000000001</v>
      </c>
      <c r="D50" s="6" t="s">
        <v>84</v>
      </c>
      <c r="E50" s="6" t="s">
        <v>85</v>
      </c>
      <c r="F50" s="6" t="s">
        <v>86</v>
      </c>
      <c r="H50" s="6"/>
      <c r="I50" s="6"/>
      <c r="J50" s="25"/>
      <c r="K50" s="25"/>
      <c r="L50" s="25"/>
      <c r="M50" s="25" t="s">
        <v>10</v>
      </c>
    </row>
    <row r="51" spans="1:13" ht="36.6" customHeight="1" thickBot="1" x14ac:dyDescent="0.35">
      <c r="A51" s="19">
        <v>2</v>
      </c>
      <c r="B51" s="12" t="s">
        <v>12</v>
      </c>
      <c r="C51" s="21">
        <v>6.96</v>
      </c>
      <c r="D51" s="6" t="s">
        <v>87</v>
      </c>
      <c r="E51" s="6" t="s">
        <v>88</v>
      </c>
      <c r="F51" s="6" t="s">
        <v>89</v>
      </c>
      <c r="H51" s="6"/>
      <c r="I51" s="6"/>
      <c r="J51" s="6"/>
      <c r="K51" s="6"/>
      <c r="L51" s="6"/>
      <c r="M51" s="6" t="s">
        <v>86</v>
      </c>
    </row>
    <row r="52" spans="1:13" ht="36.6" customHeight="1" thickBot="1" x14ac:dyDescent="0.35">
      <c r="A52" s="19">
        <v>3</v>
      </c>
      <c r="B52" s="12" t="s">
        <v>13</v>
      </c>
      <c r="C52" s="21">
        <v>0.36599999999999999</v>
      </c>
      <c r="D52" s="6" t="s">
        <v>90</v>
      </c>
      <c r="E52" s="6" t="s">
        <v>91</v>
      </c>
      <c r="F52" s="6" t="s">
        <v>92</v>
      </c>
      <c r="H52" s="6"/>
      <c r="I52" s="6"/>
      <c r="J52" s="6"/>
      <c r="K52" s="6"/>
      <c r="L52" s="6"/>
      <c r="M52" s="6" t="s">
        <v>89</v>
      </c>
    </row>
    <row r="53" spans="1:13" ht="36.6" customHeight="1" thickBot="1" x14ac:dyDescent="0.35">
      <c r="A53" s="19">
        <v>4</v>
      </c>
      <c r="B53" s="22" t="s">
        <v>14</v>
      </c>
      <c r="C53" s="21">
        <v>0.281035047494268</v>
      </c>
      <c r="D53" s="6" t="s">
        <v>93</v>
      </c>
      <c r="E53" s="6" t="s">
        <v>94</v>
      </c>
      <c r="F53" s="6" t="s">
        <v>95</v>
      </c>
      <c r="H53" s="6"/>
      <c r="I53" s="6"/>
      <c r="J53" s="6"/>
      <c r="K53" s="6"/>
      <c r="L53" s="6"/>
      <c r="M53" s="6" t="s">
        <v>92</v>
      </c>
    </row>
    <row r="54" spans="1:13" ht="36.6" customHeight="1" thickBot="1" x14ac:dyDescent="0.35">
      <c r="A54" s="19">
        <v>5</v>
      </c>
      <c r="B54" s="22" t="s">
        <v>15</v>
      </c>
      <c r="C54" s="21">
        <v>0.63216508352440204</v>
      </c>
      <c r="D54" s="6" t="s">
        <v>96</v>
      </c>
      <c r="E54" s="6" t="s">
        <v>97</v>
      </c>
      <c r="F54" s="6" t="s">
        <v>98</v>
      </c>
      <c r="H54" s="6"/>
      <c r="I54" s="6"/>
      <c r="J54" s="6"/>
      <c r="K54" s="6"/>
      <c r="L54" s="6"/>
      <c r="M54" s="6" t="s">
        <v>95</v>
      </c>
    </row>
    <row r="55" spans="1:13" ht="36.6" customHeight="1" thickBot="1" x14ac:dyDescent="0.35">
      <c r="A55" s="19">
        <v>6</v>
      </c>
      <c r="B55" s="12" t="s">
        <v>16</v>
      </c>
      <c r="C55" s="21">
        <v>1.5453652145430701</v>
      </c>
      <c r="D55" s="6" t="s">
        <v>99</v>
      </c>
      <c r="E55" s="6" t="s">
        <v>100</v>
      </c>
      <c r="F55" s="6" t="s">
        <v>101</v>
      </c>
      <c r="H55" s="6"/>
      <c r="I55" s="6"/>
      <c r="J55" s="6"/>
      <c r="K55" s="6"/>
      <c r="L55" s="6"/>
      <c r="M55" s="6" t="s">
        <v>98</v>
      </c>
    </row>
    <row r="56" spans="1:13" ht="36.6" customHeight="1" thickBot="1" x14ac:dyDescent="0.35">
      <c r="A56" s="19">
        <v>7</v>
      </c>
      <c r="B56" s="22" t="s">
        <v>17</v>
      </c>
      <c r="C56" s="21">
        <v>0.30306256141500099</v>
      </c>
      <c r="D56" s="6" t="s">
        <v>102</v>
      </c>
      <c r="E56" s="6" t="s">
        <v>103</v>
      </c>
      <c r="F56" s="6" t="s">
        <v>104</v>
      </c>
      <c r="H56" s="6"/>
      <c r="I56" s="6"/>
      <c r="J56" s="6"/>
      <c r="K56" s="6"/>
      <c r="L56" s="6"/>
      <c r="M56" s="6" t="s">
        <v>101</v>
      </c>
    </row>
    <row r="57" spans="1:13" ht="36.6" customHeight="1" thickBot="1" x14ac:dyDescent="0.35">
      <c r="A57" s="19">
        <v>8</v>
      </c>
      <c r="B57" s="22" t="s">
        <v>18</v>
      </c>
      <c r="C57" s="21">
        <v>0.151572224041925</v>
      </c>
      <c r="D57" s="6" t="s">
        <v>105</v>
      </c>
      <c r="E57" s="6" t="s">
        <v>106</v>
      </c>
      <c r="F57" s="6" t="s">
        <v>107</v>
      </c>
      <c r="H57" s="6"/>
      <c r="I57" s="6"/>
      <c r="J57" s="6"/>
      <c r="K57" s="6"/>
      <c r="L57" s="6"/>
      <c r="M57" s="6" t="s">
        <v>104</v>
      </c>
    </row>
    <row r="58" spans="1:13" ht="36.6" customHeight="1" thickBot="1" x14ac:dyDescent="0.35">
      <c r="A58" s="19">
        <v>9</v>
      </c>
      <c r="B58" s="22" t="s">
        <v>19</v>
      </c>
      <c r="C58" s="21">
        <v>0.151572224041925</v>
      </c>
      <c r="D58" s="6" t="s">
        <v>108</v>
      </c>
      <c r="E58" s="6" t="s">
        <v>109</v>
      </c>
      <c r="F58" s="6" t="s">
        <v>110</v>
      </c>
      <c r="H58" s="6"/>
      <c r="I58" s="6"/>
      <c r="J58" s="6"/>
      <c r="K58" s="6"/>
      <c r="L58" s="6"/>
      <c r="M58" s="6" t="s">
        <v>107</v>
      </c>
    </row>
    <row r="59" spans="1:13" ht="36.6" customHeight="1" thickBot="1" x14ac:dyDescent="0.35">
      <c r="A59" s="19">
        <v>10</v>
      </c>
      <c r="B59" s="22" t="s">
        <v>20</v>
      </c>
      <c r="C59" s="21">
        <v>0.65348619560131005</v>
      </c>
      <c r="D59" s="6" t="s">
        <v>111</v>
      </c>
      <c r="E59" s="6" t="s">
        <v>112</v>
      </c>
      <c r="F59" s="6" t="s">
        <v>113</v>
      </c>
      <c r="H59" s="6"/>
      <c r="I59" s="6"/>
      <c r="J59" s="6"/>
      <c r="K59" s="6"/>
      <c r="L59" s="6"/>
      <c r="M59" s="6" t="s">
        <v>110</v>
      </c>
    </row>
    <row r="60" spans="1:13" ht="36.6" customHeight="1" thickBot="1" x14ac:dyDescent="0.35">
      <c r="A60" s="19">
        <v>11</v>
      </c>
      <c r="B60" s="22" t="s">
        <v>21</v>
      </c>
      <c r="C60" s="21">
        <v>0.34651380439868901</v>
      </c>
      <c r="D60" s="6" t="s">
        <v>114</v>
      </c>
      <c r="E60" s="6" t="s">
        <v>115</v>
      </c>
      <c r="F60" s="6" t="s">
        <v>116</v>
      </c>
      <c r="H60" s="6"/>
      <c r="I60" s="6"/>
      <c r="J60" s="6"/>
      <c r="K60" s="6"/>
      <c r="L60" s="6"/>
      <c r="M60" s="6" t="s">
        <v>113</v>
      </c>
    </row>
    <row r="61" spans="1:13" ht="36.6" customHeight="1" thickBot="1" x14ac:dyDescent="0.35">
      <c r="A61" s="19">
        <v>12</v>
      </c>
      <c r="B61" s="12" t="s">
        <v>22</v>
      </c>
      <c r="C61" s="21">
        <v>0</v>
      </c>
      <c r="D61" s="6" t="s">
        <v>117</v>
      </c>
      <c r="E61" s="6" t="s">
        <v>118</v>
      </c>
      <c r="F61" s="6" t="s">
        <v>119</v>
      </c>
      <c r="H61" s="6"/>
      <c r="I61" s="6"/>
      <c r="J61" s="6"/>
      <c r="K61" s="6"/>
      <c r="L61" s="6"/>
      <c r="M61" s="6" t="s">
        <v>116</v>
      </c>
    </row>
    <row r="62" spans="1:13" ht="36.6" customHeight="1" thickBot="1" x14ac:dyDescent="0.35">
      <c r="A62" s="19">
        <v>13</v>
      </c>
      <c r="B62" s="23" t="s">
        <v>23</v>
      </c>
      <c r="C62" s="21">
        <v>0</v>
      </c>
      <c r="D62" s="6" t="s">
        <v>120</v>
      </c>
      <c r="E62" s="6" t="s">
        <v>121</v>
      </c>
      <c r="F62" s="6" t="s">
        <v>122</v>
      </c>
      <c r="H62" s="6"/>
      <c r="I62" s="6"/>
      <c r="J62" s="6"/>
      <c r="K62" s="6"/>
      <c r="L62" s="6"/>
      <c r="M62" s="6" t="s">
        <v>119</v>
      </c>
    </row>
    <row r="63" spans="1:13" ht="36.6" customHeight="1" thickBot="1" x14ac:dyDescent="0.35">
      <c r="A63" s="19">
        <v>14</v>
      </c>
      <c r="B63" s="12" t="s">
        <v>24</v>
      </c>
      <c r="C63" s="21">
        <v>0.34651380439868901</v>
      </c>
      <c r="D63" s="6" t="s">
        <v>123</v>
      </c>
      <c r="E63" s="6" t="s">
        <v>124</v>
      </c>
      <c r="F63" s="6" t="s">
        <v>125</v>
      </c>
      <c r="H63" s="6"/>
      <c r="I63" s="6"/>
      <c r="J63" s="6"/>
      <c r="K63" s="6"/>
      <c r="L63" s="6"/>
      <c r="M63" s="6" t="s">
        <v>122</v>
      </c>
    </row>
    <row r="64" spans="1:13" ht="36.6" customHeight="1" thickBot="1" x14ac:dyDescent="0.35">
      <c r="A64" s="19">
        <v>15</v>
      </c>
      <c r="B64" s="24" t="s">
        <v>25</v>
      </c>
      <c r="C64" s="21">
        <v>3.3156716417910397E-2</v>
      </c>
      <c r="D64" s="6" t="s">
        <v>81</v>
      </c>
      <c r="E64" s="6" t="s">
        <v>126</v>
      </c>
      <c r="F64" s="6" t="s">
        <v>127</v>
      </c>
      <c r="H64" s="6"/>
      <c r="I64" s="6"/>
      <c r="J64" s="6"/>
      <c r="K64" s="6"/>
      <c r="L64" s="6"/>
      <c r="M64" s="6" t="s">
        <v>125</v>
      </c>
    </row>
    <row r="65" spans="1:13" ht="36.6" customHeight="1" thickBot="1" x14ac:dyDescent="0.35">
      <c r="A65" s="19">
        <v>16</v>
      </c>
      <c r="B65" s="12" t="s">
        <v>26</v>
      </c>
      <c r="C65" s="21">
        <v>0.13120000000000001</v>
      </c>
      <c r="D65" s="6" t="s">
        <v>128</v>
      </c>
      <c r="E65" s="6" t="s">
        <v>129</v>
      </c>
      <c r="F65" s="6" t="s">
        <v>130</v>
      </c>
      <c r="H65" s="6"/>
      <c r="I65" s="6"/>
      <c r="J65" s="6"/>
      <c r="K65" s="6"/>
      <c r="L65" s="6"/>
      <c r="M65" s="6" t="s">
        <v>127</v>
      </c>
    </row>
    <row r="66" spans="1:13" ht="36.6" customHeight="1" thickBot="1" x14ac:dyDescent="0.35">
      <c r="A66" s="19">
        <v>17</v>
      </c>
      <c r="B66" s="24" t="s">
        <v>27</v>
      </c>
      <c r="C66" s="21">
        <v>0.16435671641791</v>
      </c>
      <c r="D66" s="6" t="s">
        <v>131</v>
      </c>
      <c r="E66" s="6" t="s">
        <v>132</v>
      </c>
      <c r="F66" s="6" t="s">
        <v>133</v>
      </c>
      <c r="H66" s="6"/>
      <c r="I66" s="6"/>
      <c r="J66" s="6"/>
      <c r="K66" s="6"/>
      <c r="L66" s="6"/>
      <c r="M66" s="6" t="s">
        <v>130</v>
      </c>
    </row>
    <row r="67" spans="1:13" ht="36.6" customHeight="1" thickBot="1" x14ac:dyDescent="0.35">
      <c r="A67" s="15">
        <v>18</v>
      </c>
      <c r="B67" s="12" t="s">
        <v>24</v>
      </c>
      <c r="C67" s="21">
        <v>1.9416966917785701</v>
      </c>
      <c r="D67" s="6" t="s">
        <v>134</v>
      </c>
      <c r="E67" s="6" t="s">
        <v>135</v>
      </c>
      <c r="F67" s="6" t="s">
        <v>136</v>
      </c>
      <c r="H67" s="6"/>
      <c r="I67" s="6"/>
      <c r="J67" s="6"/>
      <c r="K67" s="6"/>
      <c r="L67" s="6"/>
      <c r="M67" s="6" t="s">
        <v>133</v>
      </c>
    </row>
    <row r="68" spans="1:13" ht="36.6" customHeight="1" x14ac:dyDescent="0.3">
      <c r="J68" s="6"/>
      <c r="K68" s="6"/>
      <c r="L68" s="6"/>
      <c r="M68" s="6" t="s">
        <v>136</v>
      </c>
    </row>
    <row r="69" spans="1:13" ht="36.6" customHeight="1" thickBot="1" x14ac:dyDescent="0.35"/>
    <row r="70" spans="1:13" ht="36.6" customHeight="1" thickBot="1" x14ac:dyDescent="0.35">
      <c r="C70" s="3" t="s">
        <v>0</v>
      </c>
      <c r="D70" s="4" t="s">
        <v>31</v>
      </c>
      <c r="E70" s="4"/>
      <c r="F70" s="5"/>
      <c r="G70" s="6"/>
      <c r="H70" s="6"/>
    </row>
    <row r="71" spans="1:13" ht="36.6" customHeight="1" thickBot="1" x14ac:dyDescent="0.35">
      <c r="C71" s="7" t="s">
        <v>3</v>
      </c>
      <c r="D71" s="8" t="s">
        <v>29</v>
      </c>
      <c r="E71" s="9"/>
      <c r="F71" s="10"/>
    </row>
    <row r="72" spans="1:13" ht="36.6" customHeight="1" thickBot="1" x14ac:dyDescent="0.35">
      <c r="A72" s="11" t="s">
        <v>5</v>
      </c>
      <c r="B72" s="12" t="s">
        <v>6</v>
      </c>
      <c r="C72" s="13" t="s">
        <v>7</v>
      </c>
      <c r="D72" s="17" t="s">
        <v>8</v>
      </c>
      <c r="E72" s="17" t="s">
        <v>9</v>
      </c>
      <c r="F72" s="18" t="s">
        <v>10</v>
      </c>
      <c r="G72" s="25"/>
      <c r="H72" s="25"/>
      <c r="I72" s="25"/>
    </row>
    <row r="73" spans="1:13" ht="36.6" customHeight="1" thickBot="1" x14ac:dyDescent="0.35">
      <c r="A73" s="19">
        <v>1</v>
      </c>
      <c r="B73" s="20" t="s">
        <v>11</v>
      </c>
      <c r="C73" s="21">
        <v>0.65700000000000003</v>
      </c>
      <c r="D73" s="6" t="s">
        <v>137</v>
      </c>
      <c r="E73" s="6" t="s">
        <v>138</v>
      </c>
      <c r="F73" s="6" t="s">
        <v>139</v>
      </c>
      <c r="G73" s="6"/>
      <c r="H73" s="6"/>
      <c r="I73" s="6"/>
      <c r="J73" s="25"/>
      <c r="K73" s="25"/>
      <c r="L73" s="25"/>
    </row>
    <row r="74" spans="1:13" ht="36.6" customHeight="1" thickBot="1" x14ac:dyDescent="0.35">
      <c r="A74" s="19">
        <v>2</v>
      </c>
      <c r="B74" s="12" t="s">
        <v>12</v>
      </c>
      <c r="C74" s="21">
        <v>7.3319999999999999</v>
      </c>
      <c r="D74" s="6" t="s">
        <v>140</v>
      </c>
      <c r="E74" s="6" t="s">
        <v>141</v>
      </c>
      <c r="F74" s="6" t="s">
        <v>79</v>
      </c>
      <c r="G74" s="6"/>
      <c r="H74" s="6"/>
      <c r="I74" s="6"/>
      <c r="J74" s="6"/>
      <c r="K74" s="6"/>
      <c r="L74" s="6"/>
    </row>
    <row r="75" spans="1:13" ht="36.6" customHeight="1" thickBot="1" x14ac:dyDescent="0.35">
      <c r="A75" s="19">
        <v>3</v>
      </c>
      <c r="B75" s="12" t="s">
        <v>13</v>
      </c>
      <c r="C75" s="21">
        <v>0.33600000000000002</v>
      </c>
      <c r="D75" s="6" t="s">
        <v>142</v>
      </c>
      <c r="E75" s="6" t="s">
        <v>143</v>
      </c>
      <c r="F75" s="6" t="s">
        <v>144</v>
      </c>
      <c r="G75" s="6"/>
      <c r="H75" s="6"/>
      <c r="I75" s="6"/>
      <c r="J75" s="6"/>
      <c r="K75" s="6"/>
      <c r="L75" s="6"/>
    </row>
    <row r="76" spans="1:13" ht="36.6" customHeight="1" thickBot="1" x14ac:dyDescent="0.35">
      <c r="A76" s="19">
        <v>4</v>
      </c>
      <c r="B76" s="22" t="s">
        <v>14</v>
      </c>
      <c r="C76" s="21">
        <v>0.13856023996000599</v>
      </c>
      <c r="D76" s="6" t="s">
        <v>145</v>
      </c>
      <c r="E76" s="6" t="s">
        <v>146</v>
      </c>
      <c r="F76" s="6" t="s">
        <v>147</v>
      </c>
      <c r="G76" s="6"/>
      <c r="H76" s="6"/>
      <c r="I76" s="6"/>
      <c r="J76" s="6"/>
      <c r="K76" s="6"/>
      <c r="L76" s="6"/>
    </row>
    <row r="77" spans="1:13" ht="36.6" customHeight="1" thickBot="1" x14ac:dyDescent="0.35">
      <c r="A77" s="19">
        <v>5</v>
      </c>
      <c r="B77" s="22" t="s">
        <v>15</v>
      </c>
      <c r="C77" s="21">
        <v>0.82661223129478401</v>
      </c>
      <c r="D77" s="6" t="s">
        <v>148</v>
      </c>
      <c r="E77" s="6" t="s">
        <v>149</v>
      </c>
      <c r="F77" s="6" t="s">
        <v>150</v>
      </c>
      <c r="G77" s="6"/>
      <c r="H77" s="6"/>
      <c r="I77" s="6"/>
      <c r="J77" s="6"/>
      <c r="K77" s="6"/>
      <c r="L77" s="6"/>
    </row>
    <row r="78" spans="1:13" ht="36.6" customHeight="1" thickBot="1" x14ac:dyDescent="0.35">
      <c r="A78" s="19">
        <v>6</v>
      </c>
      <c r="B78" s="12" t="s">
        <v>16</v>
      </c>
      <c r="C78" s="21">
        <v>1.7917847025495699</v>
      </c>
      <c r="D78" s="6" t="s">
        <v>151</v>
      </c>
      <c r="E78" s="6" t="s">
        <v>152</v>
      </c>
      <c r="F78" s="6" t="s">
        <v>98</v>
      </c>
      <c r="G78" s="6"/>
      <c r="H78" s="6"/>
      <c r="I78" s="6"/>
      <c r="J78" s="6"/>
      <c r="K78" s="6"/>
      <c r="L78" s="6"/>
    </row>
    <row r="79" spans="1:13" ht="36.6" customHeight="1" thickBot="1" x14ac:dyDescent="0.35">
      <c r="A79" s="19">
        <v>7</v>
      </c>
      <c r="B79" s="22" t="s">
        <v>17</v>
      </c>
      <c r="C79" s="21">
        <v>7.5237460423262403E-2</v>
      </c>
      <c r="D79" s="6" t="s">
        <v>153</v>
      </c>
      <c r="E79" s="6" t="s">
        <v>121</v>
      </c>
      <c r="F79" s="6" t="s">
        <v>104</v>
      </c>
      <c r="G79" s="6"/>
      <c r="H79" s="6"/>
      <c r="I79" s="6"/>
      <c r="J79" s="6"/>
      <c r="K79" s="6"/>
      <c r="L79" s="6"/>
    </row>
    <row r="80" spans="1:13" ht="36.6" customHeight="1" thickBot="1" x14ac:dyDescent="0.35">
      <c r="A80" s="19">
        <v>8</v>
      </c>
      <c r="B80" s="22" t="s">
        <v>18</v>
      </c>
      <c r="C80" s="21">
        <v>0.13297783702716201</v>
      </c>
      <c r="D80" s="6" t="s">
        <v>154</v>
      </c>
      <c r="E80" s="6" t="s">
        <v>106</v>
      </c>
      <c r="F80" s="6" t="s">
        <v>155</v>
      </c>
      <c r="G80" s="6"/>
      <c r="H80" s="6"/>
      <c r="I80" s="6"/>
      <c r="J80" s="6"/>
      <c r="K80" s="6"/>
      <c r="L80" s="6"/>
    </row>
    <row r="81" spans="1:12" ht="36.6" customHeight="1" thickBot="1" x14ac:dyDescent="0.35">
      <c r="A81" s="19">
        <v>9</v>
      </c>
      <c r="B81" s="22" t="s">
        <v>19</v>
      </c>
      <c r="C81" s="21">
        <v>0.13297783702716201</v>
      </c>
      <c r="D81" s="6" t="s">
        <v>108</v>
      </c>
      <c r="E81" s="6" t="s">
        <v>156</v>
      </c>
      <c r="F81" s="6" t="s">
        <v>157</v>
      </c>
      <c r="G81" s="6"/>
      <c r="H81" s="6"/>
      <c r="I81" s="6"/>
      <c r="J81" s="6"/>
      <c r="K81" s="6"/>
      <c r="L81" s="6"/>
    </row>
    <row r="82" spans="1:12" ht="36.6" customHeight="1" thickBot="1" x14ac:dyDescent="0.35">
      <c r="A82" s="19">
        <v>10</v>
      </c>
      <c r="B82" s="22" t="s">
        <v>20</v>
      </c>
      <c r="C82" s="21">
        <v>0.37337314346960598</v>
      </c>
      <c r="D82" s="6" t="s">
        <v>158</v>
      </c>
      <c r="E82" s="6" t="s">
        <v>159</v>
      </c>
      <c r="F82" s="6" t="s">
        <v>160</v>
      </c>
      <c r="G82" s="6"/>
      <c r="H82" s="6"/>
      <c r="I82" s="6"/>
      <c r="J82" s="6"/>
      <c r="K82" s="6"/>
      <c r="L82" s="6"/>
    </row>
    <row r="83" spans="1:12" ht="36.6" customHeight="1" thickBot="1" x14ac:dyDescent="0.35">
      <c r="A83" s="19">
        <v>11</v>
      </c>
      <c r="B83" s="22" t="s">
        <v>21</v>
      </c>
      <c r="C83" s="21">
        <v>0.27530240391976601</v>
      </c>
      <c r="D83" s="6" t="s">
        <v>161</v>
      </c>
      <c r="E83" s="6" t="s">
        <v>115</v>
      </c>
      <c r="F83" s="6" t="s">
        <v>162</v>
      </c>
      <c r="G83" s="6"/>
      <c r="H83" s="6"/>
      <c r="I83" s="6"/>
      <c r="J83" s="6"/>
      <c r="K83" s="6"/>
      <c r="L83" s="6"/>
    </row>
    <row r="84" spans="1:12" ht="36.6" customHeight="1" thickBot="1" x14ac:dyDescent="0.35">
      <c r="A84" s="19">
        <v>12</v>
      </c>
      <c r="B84" s="12" t="s">
        <v>22</v>
      </c>
      <c r="C84" s="21">
        <v>0</v>
      </c>
      <c r="D84" s="6" t="s">
        <v>163</v>
      </c>
      <c r="E84" s="6" t="s">
        <v>164</v>
      </c>
      <c r="F84" s="6" t="s">
        <v>165</v>
      </c>
      <c r="G84" s="6"/>
      <c r="H84" s="6"/>
      <c r="I84" s="6"/>
      <c r="J84" s="6"/>
      <c r="K84" s="6"/>
      <c r="L84" s="6"/>
    </row>
    <row r="85" spans="1:12" ht="36.6" customHeight="1" thickBot="1" x14ac:dyDescent="0.35">
      <c r="A85" s="19">
        <v>13</v>
      </c>
      <c r="B85" s="23" t="s">
        <v>23</v>
      </c>
      <c r="C85" s="21">
        <v>0.351324452610626</v>
      </c>
      <c r="D85" s="6" t="s">
        <v>166</v>
      </c>
      <c r="E85" s="6" t="s">
        <v>167</v>
      </c>
      <c r="F85" s="6" t="s">
        <v>168</v>
      </c>
      <c r="G85" s="6"/>
      <c r="H85" s="6"/>
      <c r="I85" s="6"/>
      <c r="J85" s="6"/>
      <c r="K85" s="6"/>
      <c r="L85" s="6"/>
    </row>
    <row r="86" spans="1:12" ht="36.6" customHeight="1" thickBot="1" x14ac:dyDescent="0.35">
      <c r="A86" s="19">
        <v>14</v>
      </c>
      <c r="B86" s="12" t="s">
        <v>24</v>
      </c>
      <c r="C86" s="21">
        <v>0.97795130914102002</v>
      </c>
      <c r="D86" s="6" t="s">
        <v>169</v>
      </c>
      <c r="E86" s="6" t="s">
        <v>170</v>
      </c>
      <c r="F86" s="6" t="s">
        <v>101</v>
      </c>
      <c r="G86" s="6"/>
      <c r="H86" s="6"/>
      <c r="I86" s="6"/>
      <c r="J86" s="6"/>
      <c r="K86" s="6"/>
      <c r="L86" s="6"/>
    </row>
    <row r="87" spans="1:12" ht="36.6" customHeight="1" thickBot="1" x14ac:dyDescent="0.35">
      <c r="A87" s="19">
        <v>15</v>
      </c>
      <c r="B87" s="24" t="s">
        <v>25</v>
      </c>
      <c r="C87" s="21">
        <v>6.1082089552238802E-2</v>
      </c>
      <c r="D87" s="6" t="s">
        <v>171</v>
      </c>
      <c r="E87" s="6" t="s">
        <v>172</v>
      </c>
      <c r="F87" s="6" t="s">
        <v>173</v>
      </c>
      <c r="G87" s="6"/>
      <c r="H87" s="6"/>
      <c r="I87" s="6"/>
      <c r="J87" s="6"/>
      <c r="K87" s="6"/>
      <c r="L87" s="6"/>
    </row>
    <row r="88" spans="1:12" ht="36.6" customHeight="1" thickBot="1" x14ac:dyDescent="0.35">
      <c r="A88" s="19">
        <v>16</v>
      </c>
      <c r="B88" s="12" t="s">
        <v>26</v>
      </c>
      <c r="C88" s="21">
        <v>0.128711111111111</v>
      </c>
      <c r="D88" s="6" t="s">
        <v>174</v>
      </c>
      <c r="E88" s="6" t="s">
        <v>175</v>
      </c>
      <c r="F88" s="6" t="s">
        <v>176</v>
      </c>
      <c r="G88" s="6"/>
      <c r="H88" s="6"/>
      <c r="I88" s="6"/>
      <c r="J88" s="6"/>
      <c r="K88" s="6"/>
      <c r="L88" s="6"/>
    </row>
    <row r="89" spans="1:12" ht="36.6" customHeight="1" thickBot="1" x14ac:dyDescent="0.35">
      <c r="A89" s="19">
        <v>17</v>
      </c>
      <c r="B89" s="24" t="s">
        <v>27</v>
      </c>
      <c r="C89" s="21">
        <v>0.18979320066334901</v>
      </c>
      <c r="D89" s="6" t="s">
        <v>177</v>
      </c>
      <c r="E89" s="6" t="s">
        <v>178</v>
      </c>
      <c r="F89" s="6" t="s">
        <v>179</v>
      </c>
      <c r="G89" s="6"/>
      <c r="H89" s="6"/>
      <c r="I89" s="6"/>
      <c r="J89" s="6"/>
      <c r="K89" s="6"/>
      <c r="L89" s="6"/>
    </row>
    <row r="90" spans="1:12" ht="36.6" customHeight="1" thickBot="1" x14ac:dyDescent="0.35">
      <c r="A90" s="15">
        <v>18</v>
      </c>
      <c r="B90" s="12" t="s">
        <v>24</v>
      </c>
      <c r="C90" s="21">
        <v>2.8889074043214999</v>
      </c>
      <c r="D90" s="6" t="s">
        <v>180</v>
      </c>
      <c r="E90" s="6" t="s">
        <v>169</v>
      </c>
      <c r="F90" s="6" t="s">
        <v>181</v>
      </c>
      <c r="G90" s="6"/>
      <c r="H90" s="6"/>
      <c r="I90" s="6"/>
      <c r="J90" s="6"/>
      <c r="K90" s="6"/>
      <c r="L90" s="6"/>
    </row>
    <row r="91" spans="1:12" x14ac:dyDescent="0.3">
      <c r="J91" s="6"/>
      <c r="K91" s="6"/>
      <c r="L91" s="6"/>
    </row>
    <row r="92" spans="1:12" ht="36.6" customHeight="1" thickBot="1" x14ac:dyDescent="0.35"/>
    <row r="93" spans="1:12" ht="36.6" customHeight="1" thickBot="1" x14ac:dyDescent="0.35">
      <c r="C93" s="3" t="s">
        <v>0</v>
      </c>
      <c r="D93" s="4" t="s">
        <v>32</v>
      </c>
      <c r="E93" s="4"/>
      <c r="F93" s="5"/>
      <c r="G93" s="6"/>
      <c r="H93" s="6"/>
    </row>
    <row r="94" spans="1:12" ht="36.6" customHeight="1" thickBot="1" x14ac:dyDescent="0.35">
      <c r="C94" s="7" t="s">
        <v>4</v>
      </c>
      <c r="D94" s="8" t="s">
        <v>29</v>
      </c>
      <c r="E94" s="9"/>
      <c r="F94" s="10"/>
    </row>
    <row r="95" spans="1:12" ht="36.6" customHeight="1" thickBot="1" x14ac:dyDescent="0.35">
      <c r="A95" s="11" t="s">
        <v>5</v>
      </c>
      <c r="B95" s="12" t="s">
        <v>6</v>
      </c>
      <c r="C95" s="13" t="s">
        <v>7</v>
      </c>
      <c r="D95" s="17" t="s">
        <v>8</v>
      </c>
      <c r="E95" s="17" t="s">
        <v>9</v>
      </c>
      <c r="F95" s="18" t="s">
        <v>10</v>
      </c>
      <c r="G95" s="25"/>
      <c r="H95" s="25"/>
      <c r="I95" s="25"/>
    </row>
    <row r="96" spans="1:12" ht="36.6" customHeight="1" thickBot="1" x14ac:dyDescent="0.35">
      <c r="A96" s="19">
        <v>1</v>
      </c>
      <c r="B96" s="20" t="s">
        <v>11</v>
      </c>
      <c r="C96" s="21">
        <v>0.82099999999999995</v>
      </c>
      <c r="D96" s="6" t="s">
        <v>182</v>
      </c>
      <c r="E96" s="6" t="s">
        <v>183</v>
      </c>
      <c r="F96" s="6" t="s">
        <v>184</v>
      </c>
      <c r="G96" s="6"/>
      <c r="H96" s="6"/>
      <c r="I96" s="6"/>
      <c r="J96" s="25"/>
      <c r="K96" s="25"/>
      <c r="L96" s="25"/>
    </row>
    <row r="97" spans="1:12" ht="36.6" customHeight="1" thickBot="1" x14ac:dyDescent="0.35">
      <c r="A97" s="19">
        <v>2</v>
      </c>
      <c r="B97" s="12" t="s">
        <v>12</v>
      </c>
      <c r="C97" s="21">
        <v>9.0020000000000007</v>
      </c>
      <c r="D97" s="6" t="s">
        <v>185</v>
      </c>
      <c r="E97" s="6" t="s">
        <v>186</v>
      </c>
      <c r="F97" s="6" t="s">
        <v>187</v>
      </c>
      <c r="G97" s="6"/>
      <c r="H97" s="6"/>
      <c r="I97" s="6"/>
      <c r="J97" s="6"/>
      <c r="K97" s="6"/>
      <c r="L97" s="6"/>
    </row>
    <row r="98" spans="1:12" ht="36.6" customHeight="1" thickBot="1" x14ac:dyDescent="0.35">
      <c r="A98" s="19">
        <v>3</v>
      </c>
      <c r="B98" s="12" t="s">
        <v>13</v>
      </c>
      <c r="C98" s="21">
        <v>0.19400000000000001</v>
      </c>
      <c r="D98" s="6" t="s">
        <v>188</v>
      </c>
      <c r="E98" s="6" t="s">
        <v>189</v>
      </c>
      <c r="F98" s="6" t="s">
        <v>190</v>
      </c>
      <c r="G98" s="6"/>
      <c r="H98" s="6"/>
      <c r="I98" s="6"/>
      <c r="J98" s="6"/>
      <c r="K98" s="6"/>
      <c r="L98" s="6"/>
    </row>
    <row r="99" spans="1:12" ht="36.6" customHeight="1" thickBot="1" x14ac:dyDescent="0.35">
      <c r="A99" s="19">
        <v>4</v>
      </c>
      <c r="B99" s="22" t="s">
        <v>14</v>
      </c>
      <c r="C99" s="21">
        <v>0.109410801963993</v>
      </c>
      <c r="D99" s="6" t="s">
        <v>145</v>
      </c>
      <c r="E99" s="6" t="s">
        <v>191</v>
      </c>
      <c r="F99" s="6" t="s">
        <v>192</v>
      </c>
      <c r="G99" s="6"/>
      <c r="H99" s="6"/>
      <c r="I99" s="6"/>
      <c r="J99" s="6"/>
      <c r="K99" s="6"/>
      <c r="L99" s="6"/>
    </row>
    <row r="100" spans="1:12" ht="36.6" customHeight="1" thickBot="1" x14ac:dyDescent="0.35">
      <c r="A100" s="19">
        <v>5</v>
      </c>
      <c r="B100" s="22" t="s">
        <v>15</v>
      </c>
      <c r="C100" s="21">
        <v>0.87283142389525303</v>
      </c>
      <c r="D100" s="6" t="s">
        <v>193</v>
      </c>
      <c r="E100" s="6" t="s">
        <v>194</v>
      </c>
      <c r="F100" s="6" t="s">
        <v>195</v>
      </c>
      <c r="G100" s="6"/>
      <c r="H100" s="6"/>
      <c r="I100" s="6"/>
      <c r="J100" s="6"/>
      <c r="K100" s="6"/>
      <c r="L100" s="6"/>
    </row>
    <row r="101" spans="1:12" ht="36.6" customHeight="1" thickBot="1" x14ac:dyDescent="0.35">
      <c r="A101" s="19">
        <v>6</v>
      </c>
      <c r="B101" s="12" t="s">
        <v>16</v>
      </c>
      <c r="C101" s="21">
        <v>1.8550736497545</v>
      </c>
      <c r="D101" s="6" t="s">
        <v>196</v>
      </c>
      <c r="E101" s="6" t="s">
        <v>197</v>
      </c>
      <c r="F101" s="6" t="s">
        <v>198</v>
      </c>
      <c r="G101" s="6"/>
      <c r="H101" s="6"/>
      <c r="I101" s="6"/>
      <c r="J101" s="6"/>
      <c r="K101" s="6"/>
      <c r="L101" s="6"/>
    </row>
    <row r="102" spans="1:12" ht="36.6" customHeight="1" thickBot="1" x14ac:dyDescent="0.35">
      <c r="A102" s="19">
        <v>7</v>
      </c>
      <c r="B102" s="22" t="s">
        <v>17</v>
      </c>
      <c r="C102" s="21">
        <v>6.1211129296235497E-2</v>
      </c>
      <c r="D102" s="6" t="s">
        <v>199</v>
      </c>
      <c r="E102" s="6" t="s">
        <v>200</v>
      </c>
      <c r="F102" s="6" t="s">
        <v>201</v>
      </c>
      <c r="G102" s="6"/>
      <c r="H102" s="6"/>
      <c r="I102" s="6"/>
      <c r="J102" s="6"/>
      <c r="K102" s="6"/>
      <c r="L102" s="6"/>
    </row>
    <row r="103" spans="1:12" ht="36.6" customHeight="1" thickBot="1" x14ac:dyDescent="0.35">
      <c r="A103" s="19">
        <v>8</v>
      </c>
      <c r="B103" s="22" t="s">
        <v>18</v>
      </c>
      <c r="C103" s="21">
        <v>8.3715220949263397E-2</v>
      </c>
      <c r="D103" s="6" t="s">
        <v>154</v>
      </c>
      <c r="E103" s="6" t="s">
        <v>202</v>
      </c>
      <c r="F103" s="6" t="s">
        <v>73</v>
      </c>
      <c r="G103" s="6"/>
      <c r="H103" s="6"/>
      <c r="I103" s="6"/>
      <c r="J103" s="6"/>
      <c r="K103" s="6"/>
      <c r="L103" s="6"/>
    </row>
    <row r="104" spans="1:12" ht="36.6" customHeight="1" thickBot="1" x14ac:dyDescent="0.35">
      <c r="A104" s="19">
        <v>9</v>
      </c>
      <c r="B104" s="22" t="s">
        <v>19</v>
      </c>
      <c r="C104" s="21">
        <v>8.3715220949263397E-2</v>
      </c>
      <c r="D104" s="6" t="s">
        <v>203</v>
      </c>
      <c r="E104" s="6" t="s">
        <v>204</v>
      </c>
      <c r="F104" s="6" t="s">
        <v>101</v>
      </c>
      <c r="G104" s="6"/>
      <c r="H104" s="6"/>
      <c r="I104" s="6"/>
      <c r="J104" s="6"/>
      <c r="K104" s="6"/>
      <c r="L104" s="6"/>
    </row>
    <row r="105" spans="1:12" ht="36.6" customHeight="1" thickBot="1" x14ac:dyDescent="0.35">
      <c r="A105" s="19">
        <v>10</v>
      </c>
      <c r="B105" s="22" t="s">
        <v>20</v>
      </c>
      <c r="C105" s="21">
        <v>0.30808002481389501</v>
      </c>
      <c r="D105" s="6" t="s">
        <v>205</v>
      </c>
      <c r="E105" s="6" t="s">
        <v>206</v>
      </c>
      <c r="F105" s="6" t="s">
        <v>207</v>
      </c>
      <c r="G105" s="6"/>
      <c r="H105" s="6"/>
      <c r="I105" s="6"/>
      <c r="J105" s="6"/>
      <c r="K105" s="6"/>
      <c r="L105" s="6"/>
    </row>
    <row r="106" spans="1:12" ht="36.6" customHeight="1" thickBot="1" x14ac:dyDescent="0.35">
      <c r="A106" s="19">
        <v>11</v>
      </c>
      <c r="B106" s="22" t="s">
        <v>21</v>
      </c>
      <c r="C106" s="21">
        <v>0.21789702233250599</v>
      </c>
      <c r="D106" s="6" t="s">
        <v>208</v>
      </c>
      <c r="E106" s="6" t="s">
        <v>209</v>
      </c>
      <c r="F106" s="6" t="s">
        <v>210</v>
      </c>
      <c r="G106" s="6"/>
      <c r="H106" s="6"/>
      <c r="I106" s="6"/>
      <c r="J106" s="6"/>
      <c r="K106" s="6"/>
      <c r="L106" s="6"/>
    </row>
    <row r="107" spans="1:12" ht="36.6" customHeight="1" thickBot="1" x14ac:dyDescent="0.35">
      <c r="A107" s="19">
        <v>12</v>
      </c>
      <c r="B107" s="12" t="s">
        <v>22</v>
      </c>
      <c r="C107" s="21">
        <v>0.249379652605459</v>
      </c>
      <c r="D107" s="6" t="s">
        <v>211</v>
      </c>
      <c r="E107" s="6" t="s">
        <v>212</v>
      </c>
      <c r="F107" s="6" t="s">
        <v>213</v>
      </c>
      <c r="G107" s="6"/>
      <c r="H107" s="6"/>
      <c r="I107" s="6"/>
      <c r="J107" s="6"/>
      <c r="K107" s="6"/>
      <c r="L107" s="6"/>
    </row>
    <row r="108" spans="1:12" ht="36.6" customHeight="1" thickBot="1" x14ac:dyDescent="0.35">
      <c r="A108" s="19">
        <v>13</v>
      </c>
      <c r="B108" s="23" t="s">
        <v>23</v>
      </c>
      <c r="C108" s="21">
        <v>0.224643300248138</v>
      </c>
      <c r="D108" s="6" t="s">
        <v>214</v>
      </c>
      <c r="E108" s="6" t="s">
        <v>167</v>
      </c>
      <c r="F108" s="6" t="s">
        <v>215</v>
      </c>
      <c r="G108" s="6"/>
      <c r="H108" s="6"/>
      <c r="I108" s="6"/>
      <c r="J108" s="6"/>
      <c r="K108" s="6"/>
      <c r="L108" s="6"/>
    </row>
    <row r="109" spans="1:12" ht="36.6" customHeight="1" thickBot="1" x14ac:dyDescent="0.35">
      <c r="A109" s="19">
        <v>14</v>
      </c>
      <c r="B109" s="12" t="s">
        <v>24</v>
      </c>
      <c r="C109" s="21">
        <v>1.3905862282878401</v>
      </c>
      <c r="D109" s="6" t="s">
        <v>169</v>
      </c>
      <c r="E109" s="6" t="s">
        <v>216</v>
      </c>
      <c r="F109" s="6" t="s">
        <v>101</v>
      </c>
      <c r="G109" s="6"/>
      <c r="H109" s="6"/>
      <c r="I109" s="6"/>
      <c r="J109" s="6"/>
      <c r="K109" s="6"/>
      <c r="L109" s="6"/>
    </row>
    <row r="110" spans="1:12" ht="36.6" customHeight="1" thickBot="1" x14ac:dyDescent="0.35">
      <c r="A110" s="19">
        <v>15</v>
      </c>
      <c r="B110" s="24" t="s">
        <v>25</v>
      </c>
      <c r="C110" s="21">
        <v>6.6589552238805902E-2</v>
      </c>
      <c r="D110" s="6" t="s">
        <v>171</v>
      </c>
      <c r="E110" s="6" t="s">
        <v>217</v>
      </c>
      <c r="F110" s="6" t="s">
        <v>173</v>
      </c>
      <c r="G110" s="6"/>
      <c r="H110" s="6"/>
      <c r="I110" s="6"/>
      <c r="J110" s="6"/>
      <c r="K110" s="6"/>
      <c r="L110" s="6"/>
    </row>
    <row r="111" spans="1:12" ht="36.6" customHeight="1" thickBot="1" x14ac:dyDescent="0.35">
      <c r="A111" s="19">
        <v>16</v>
      </c>
      <c r="B111" s="12" t="s">
        <v>26</v>
      </c>
      <c r="C111" s="21">
        <v>0.109118181818181</v>
      </c>
      <c r="D111" s="6" t="s">
        <v>218</v>
      </c>
      <c r="E111" s="6" t="s">
        <v>175</v>
      </c>
      <c r="F111" s="6" t="s">
        <v>176</v>
      </c>
      <c r="G111" s="6"/>
      <c r="H111" s="6"/>
      <c r="I111" s="6"/>
      <c r="J111" s="6"/>
      <c r="K111" s="6"/>
      <c r="L111" s="6"/>
    </row>
    <row r="112" spans="1:12" ht="36.6" customHeight="1" thickBot="1" x14ac:dyDescent="0.35">
      <c r="A112" s="19">
        <v>17</v>
      </c>
      <c r="B112" s="24" t="s">
        <v>27</v>
      </c>
      <c r="C112" s="21">
        <v>0.175707734056987</v>
      </c>
      <c r="D112" s="6" t="s">
        <v>177</v>
      </c>
      <c r="E112" s="6" t="s">
        <v>178</v>
      </c>
      <c r="F112" s="6" t="s">
        <v>179</v>
      </c>
      <c r="G112" s="6"/>
      <c r="H112" s="6"/>
      <c r="I112" s="6"/>
      <c r="J112" s="6"/>
      <c r="K112" s="6"/>
      <c r="L112" s="6"/>
    </row>
    <row r="113" spans="1:12" ht="36.6" customHeight="1" thickBot="1" x14ac:dyDescent="0.35">
      <c r="A113" s="15">
        <v>18</v>
      </c>
      <c r="B113" s="12" t="s">
        <v>24</v>
      </c>
      <c r="C113" s="21">
        <v>3.2820512820512802</v>
      </c>
      <c r="D113" s="6" t="s">
        <v>180</v>
      </c>
      <c r="E113" s="6" t="s">
        <v>219</v>
      </c>
      <c r="F113" s="6" t="s">
        <v>220</v>
      </c>
      <c r="G113" s="6"/>
      <c r="H113" s="6"/>
      <c r="I113" s="6"/>
      <c r="J113" s="6"/>
      <c r="K113" s="6"/>
      <c r="L113" s="6"/>
    </row>
    <row r="114" spans="1:12" x14ac:dyDescent="0.3">
      <c r="J114" s="6"/>
      <c r="K114" s="6"/>
      <c r="L114" s="6"/>
    </row>
    <row r="115" spans="1:12" x14ac:dyDescent="0.3">
      <c r="E115" s="26" t="s">
        <v>221</v>
      </c>
    </row>
    <row r="117" spans="1:12" x14ac:dyDescent="0.3">
      <c r="E117" s="26" t="s">
        <v>222</v>
      </c>
    </row>
  </sheetData>
  <mergeCells count="1">
    <mergeCell ref="C22:F2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785CA-40B3-4F36-8E16-460E90353309}">
  <dimension ref="A1:J17"/>
  <sheetViews>
    <sheetView topLeftCell="A10" workbookViewId="0">
      <selection activeCell="I15" sqref="I15"/>
    </sheetView>
  </sheetViews>
  <sheetFormatPr defaultRowHeight="14.4" x14ac:dyDescent="0.3"/>
  <sheetData>
    <row r="1" spans="1:10" x14ac:dyDescent="0.3">
      <c r="A1">
        <v>0</v>
      </c>
      <c r="B1">
        <v>0</v>
      </c>
      <c r="E1">
        <v>0</v>
      </c>
      <c r="F1">
        <v>0</v>
      </c>
      <c r="G1">
        <v>0</v>
      </c>
      <c r="H1">
        <v>0</v>
      </c>
    </row>
    <row r="2" spans="1:10" x14ac:dyDescent="0.3">
      <c r="A2">
        <v>1</v>
      </c>
      <c r="B2">
        <v>10</v>
      </c>
      <c r="C2">
        <v>1</v>
      </c>
      <c r="D2">
        <v>1</v>
      </c>
      <c r="E2">
        <v>0.1</v>
      </c>
      <c r="F2">
        <f>D2/$D$12</f>
        <v>0.01</v>
      </c>
      <c r="G2">
        <f>SUM($F$2:F2)</f>
        <v>0.01</v>
      </c>
      <c r="H2">
        <f>SUM($E$2:E2)</f>
        <v>0.1</v>
      </c>
      <c r="I2">
        <f>H2-G2</f>
        <v>9.0000000000000011E-2</v>
      </c>
      <c r="J2">
        <f>I2*$E$2</f>
        <v>9.0000000000000011E-3</v>
      </c>
    </row>
    <row r="3" spans="1:10" x14ac:dyDescent="0.3">
      <c r="A3">
        <v>2</v>
      </c>
      <c r="B3">
        <v>20</v>
      </c>
      <c r="C3">
        <v>0.9</v>
      </c>
      <c r="D3">
        <v>2</v>
      </c>
      <c r="E3">
        <v>0.1</v>
      </c>
      <c r="F3">
        <f t="shared" ref="F3:F12" si="0">D3/$D$12</f>
        <v>0.02</v>
      </c>
      <c r="G3">
        <f>SUM($F$2:F3)</f>
        <v>0.03</v>
      </c>
      <c r="H3">
        <f>SUM($E$2:E3)</f>
        <v>0.2</v>
      </c>
      <c r="I3">
        <f t="shared" ref="I3:I11" si="1">H3-G3</f>
        <v>0.17</v>
      </c>
      <c r="J3">
        <f t="shared" ref="J3:J11" si="2">I3*$E$2</f>
        <v>1.7000000000000001E-2</v>
      </c>
    </row>
    <row r="4" spans="1:10" x14ac:dyDescent="0.3">
      <c r="A4">
        <v>3</v>
      </c>
      <c r="B4">
        <v>30</v>
      </c>
      <c r="C4">
        <v>0.8</v>
      </c>
      <c r="D4">
        <v>3</v>
      </c>
      <c r="E4">
        <v>0.1</v>
      </c>
      <c r="F4">
        <f t="shared" si="0"/>
        <v>0.03</v>
      </c>
      <c r="G4">
        <f>SUM($F$2:F4)</f>
        <v>0.06</v>
      </c>
      <c r="H4">
        <f>SUM($E$2:E4)</f>
        <v>0.30000000000000004</v>
      </c>
      <c r="I4">
        <f t="shared" si="1"/>
        <v>0.24000000000000005</v>
      </c>
      <c r="J4">
        <f t="shared" si="2"/>
        <v>2.4000000000000007E-2</v>
      </c>
    </row>
    <row r="5" spans="1:10" x14ac:dyDescent="0.3">
      <c r="A5">
        <v>4</v>
      </c>
      <c r="B5">
        <v>40</v>
      </c>
      <c r="C5">
        <v>0.7</v>
      </c>
      <c r="D5">
        <v>4</v>
      </c>
      <c r="E5">
        <v>0.1</v>
      </c>
      <c r="F5">
        <f t="shared" si="0"/>
        <v>0.04</v>
      </c>
      <c r="G5">
        <f>SUM($F$2:F5)</f>
        <v>0.1</v>
      </c>
      <c r="H5">
        <f>SUM($E$2:E5)</f>
        <v>0.4</v>
      </c>
      <c r="I5">
        <f t="shared" si="1"/>
        <v>0.30000000000000004</v>
      </c>
      <c r="J5">
        <f t="shared" si="2"/>
        <v>3.0000000000000006E-2</v>
      </c>
    </row>
    <row r="6" spans="1:10" x14ac:dyDescent="0.3">
      <c r="A6">
        <v>5</v>
      </c>
      <c r="B6">
        <v>50</v>
      </c>
      <c r="C6">
        <v>0.6</v>
      </c>
      <c r="D6">
        <v>5</v>
      </c>
      <c r="E6">
        <v>0.1</v>
      </c>
      <c r="F6">
        <f t="shared" si="0"/>
        <v>0.05</v>
      </c>
      <c r="G6">
        <f>SUM($F$2:F6)</f>
        <v>0.15000000000000002</v>
      </c>
      <c r="H6">
        <f>SUM($E$2:E6)</f>
        <v>0.5</v>
      </c>
      <c r="I6">
        <f t="shared" si="1"/>
        <v>0.35</v>
      </c>
      <c r="J6">
        <f t="shared" si="2"/>
        <v>3.4999999999999996E-2</v>
      </c>
    </row>
    <row r="7" spans="1:10" x14ac:dyDescent="0.3">
      <c r="A7">
        <v>6</v>
      </c>
      <c r="B7">
        <v>60</v>
      </c>
      <c r="C7">
        <v>0.5</v>
      </c>
      <c r="D7">
        <v>10</v>
      </c>
      <c r="E7">
        <v>0.1</v>
      </c>
      <c r="F7">
        <f t="shared" si="0"/>
        <v>0.1</v>
      </c>
      <c r="G7">
        <f>SUM($F$2:F7)</f>
        <v>0.25</v>
      </c>
      <c r="H7">
        <f>SUM($E$2:E7)</f>
        <v>0.6</v>
      </c>
      <c r="I7">
        <f t="shared" si="1"/>
        <v>0.35</v>
      </c>
      <c r="J7">
        <f t="shared" si="2"/>
        <v>3.4999999999999996E-2</v>
      </c>
    </row>
    <row r="8" spans="1:10" x14ac:dyDescent="0.3">
      <c r="A8">
        <v>7</v>
      </c>
      <c r="B8">
        <v>70</v>
      </c>
      <c r="C8">
        <v>0.4</v>
      </c>
      <c r="D8">
        <v>10</v>
      </c>
      <c r="E8">
        <v>0.1</v>
      </c>
      <c r="F8">
        <f t="shared" si="0"/>
        <v>0.1</v>
      </c>
      <c r="G8">
        <f>SUM($F$2:F8)</f>
        <v>0.35</v>
      </c>
      <c r="H8">
        <f>SUM($E$2:E8)</f>
        <v>0.7</v>
      </c>
      <c r="I8">
        <f t="shared" si="1"/>
        <v>0.35</v>
      </c>
      <c r="J8">
        <f t="shared" si="2"/>
        <v>3.4999999999999996E-2</v>
      </c>
    </row>
    <row r="9" spans="1:10" x14ac:dyDescent="0.3">
      <c r="A9">
        <v>8</v>
      </c>
      <c r="B9">
        <v>80</v>
      </c>
      <c r="C9">
        <v>0.3</v>
      </c>
      <c r="D9">
        <v>15</v>
      </c>
      <c r="E9">
        <v>0.1</v>
      </c>
      <c r="F9">
        <f t="shared" si="0"/>
        <v>0.15</v>
      </c>
      <c r="G9">
        <f>SUM($F$2:F9)</f>
        <v>0.5</v>
      </c>
      <c r="H9">
        <f>SUM($E$2:E9)</f>
        <v>0.79999999999999993</v>
      </c>
      <c r="I9">
        <f t="shared" si="1"/>
        <v>0.29999999999999993</v>
      </c>
      <c r="J9">
        <f t="shared" si="2"/>
        <v>2.9999999999999995E-2</v>
      </c>
    </row>
    <row r="10" spans="1:10" x14ac:dyDescent="0.3">
      <c r="A10">
        <v>9</v>
      </c>
      <c r="B10">
        <v>90</v>
      </c>
      <c r="C10">
        <v>0.2</v>
      </c>
      <c r="D10">
        <v>20</v>
      </c>
      <c r="E10">
        <v>0.1</v>
      </c>
      <c r="F10">
        <f t="shared" si="0"/>
        <v>0.2</v>
      </c>
      <c r="G10">
        <f>SUM($F$2:F10)</f>
        <v>0.7</v>
      </c>
      <c r="H10">
        <f>SUM($E$2:E10)</f>
        <v>0.89999999999999991</v>
      </c>
      <c r="I10">
        <f t="shared" si="1"/>
        <v>0.19999999999999996</v>
      </c>
      <c r="J10">
        <f t="shared" si="2"/>
        <v>1.9999999999999997E-2</v>
      </c>
    </row>
    <row r="11" spans="1:10" x14ac:dyDescent="0.3">
      <c r="A11">
        <v>10</v>
      </c>
      <c r="B11">
        <v>100</v>
      </c>
      <c r="C11">
        <v>0.1</v>
      </c>
      <c r="D11">
        <v>30</v>
      </c>
      <c r="E11">
        <v>0.1</v>
      </c>
      <c r="F11">
        <f t="shared" si="0"/>
        <v>0.3</v>
      </c>
      <c r="G11">
        <f>SUM($F$2:F11)</f>
        <v>1</v>
      </c>
      <c r="H11">
        <f>SUM($E$2:E11)</f>
        <v>0.99999999999999989</v>
      </c>
      <c r="I11">
        <f t="shared" si="1"/>
        <v>0</v>
      </c>
      <c r="J11">
        <f t="shared" si="2"/>
        <v>0</v>
      </c>
    </row>
    <row r="12" spans="1:10" x14ac:dyDescent="0.3">
      <c r="B12">
        <f t="shared" ref="B12:C12" si="3">SUM(B2:B11)</f>
        <v>550</v>
      </c>
      <c r="C12">
        <f t="shared" si="3"/>
        <v>5.5</v>
      </c>
      <c r="D12">
        <f>SUM(D2:D11)</f>
        <v>100</v>
      </c>
      <c r="E12">
        <f>SUM(E2:E11)</f>
        <v>0.99999999999999989</v>
      </c>
      <c r="F12">
        <f t="shared" si="0"/>
        <v>1</v>
      </c>
      <c r="J12">
        <f>SUM(J2:J11)</f>
        <v>0.23500000000000001</v>
      </c>
    </row>
    <row r="14" spans="1:10" x14ac:dyDescent="0.3">
      <c r="H14" t="s">
        <v>341</v>
      </c>
      <c r="I14">
        <f>J12*0.1/0.5</f>
        <v>4.7000000000000007E-2</v>
      </c>
    </row>
    <row r="15" spans="1:10" x14ac:dyDescent="0.3">
      <c r="H15" t="s">
        <v>342</v>
      </c>
      <c r="I15">
        <f>F6*100</f>
        <v>5</v>
      </c>
    </row>
    <row r="16" spans="1:10" x14ac:dyDescent="0.3">
      <c r="H16" t="s">
        <v>343</v>
      </c>
      <c r="I16">
        <f>D12/A11</f>
        <v>10</v>
      </c>
    </row>
    <row r="17" spans="8:9" x14ac:dyDescent="0.3">
      <c r="H17" t="s">
        <v>344</v>
      </c>
      <c r="I17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B0C2-4A4D-431A-8C0C-16DB39E3151B}">
  <dimension ref="A1:M16"/>
  <sheetViews>
    <sheetView zoomScale="70" zoomScaleNormal="70" workbookViewId="0">
      <selection activeCell="J29" sqref="J29"/>
    </sheetView>
  </sheetViews>
  <sheetFormatPr defaultRowHeight="14.4" x14ac:dyDescent="0.3"/>
  <cols>
    <col min="1" max="3" width="26" customWidth="1"/>
    <col min="4" max="6" width="10" customWidth="1"/>
    <col min="7" max="7" width="20.33203125" customWidth="1"/>
    <col min="11" max="13" width="20.33203125" customWidth="1"/>
  </cols>
  <sheetData>
    <row r="1" spans="1:13" ht="112.8" customHeight="1" x14ac:dyDescent="0.3">
      <c r="A1" s="28" t="s">
        <v>223</v>
      </c>
      <c r="B1" s="28" t="s">
        <v>224</v>
      </c>
      <c r="C1" s="28" t="s">
        <v>225</v>
      </c>
      <c r="D1" s="28" t="s">
        <v>226</v>
      </c>
      <c r="E1" s="28" t="s">
        <v>227</v>
      </c>
      <c r="F1" s="28" t="s">
        <v>228</v>
      </c>
      <c r="G1" s="28" t="s">
        <v>272</v>
      </c>
      <c r="K1" s="25"/>
      <c r="L1" s="25"/>
      <c r="M1" s="25"/>
    </row>
    <row r="2" spans="1:13" ht="112.8" customHeight="1" x14ac:dyDescent="0.3">
      <c r="A2" s="29" t="s">
        <v>229</v>
      </c>
      <c r="B2" s="29" t="s">
        <v>230</v>
      </c>
      <c r="C2" s="30" t="s">
        <v>231</v>
      </c>
      <c r="D2" s="30" t="s">
        <v>232</v>
      </c>
      <c r="E2" s="30" t="s">
        <v>233</v>
      </c>
      <c r="F2" s="30" t="s">
        <v>234</v>
      </c>
      <c r="G2" s="30" t="s">
        <v>273</v>
      </c>
      <c r="K2" s="27"/>
      <c r="L2" s="27"/>
      <c r="M2" s="6"/>
    </row>
    <row r="3" spans="1:13" ht="112.8" customHeight="1" x14ac:dyDescent="0.3">
      <c r="A3" s="30"/>
      <c r="B3" s="29" t="s">
        <v>235</v>
      </c>
      <c r="C3" s="30" t="s">
        <v>236</v>
      </c>
      <c r="D3" s="30" t="s">
        <v>237</v>
      </c>
      <c r="E3" s="30" t="s">
        <v>233</v>
      </c>
      <c r="F3" s="30" t="s">
        <v>237</v>
      </c>
      <c r="G3" s="30" t="s">
        <v>274</v>
      </c>
      <c r="K3" s="6"/>
      <c r="L3" s="27"/>
      <c r="M3" s="6"/>
    </row>
    <row r="4" spans="1:13" ht="112.8" customHeight="1" x14ac:dyDescent="0.3">
      <c r="A4" s="30"/>
      <c r="B4" s="29" t="s">
        <v>238</v>
      </c>
      <c r="C4" s="30" t="s">
        <v>239</v>
      </c>
      <c r="D4" s="30" t="s">
        <v>232</v>
      </c>
      <c r="E4" s="30" t="s">
        <v>240</v>
      </c>
      <c r="F4" s="30" t="s">
        <v>234</v>
      </c>
      <c r="G4" s="30" t="s">
        <v>275</v>
      </c>
      <c r="K4" s="6"/>
      <c r="L4" s="27"/>
      <c r="M4" s="6"/>
    </row>
    <row r="5" spans="1:13" ht="112.8" customHeight="1" x14ac:dyDescent="0.3">
      <c r="A5" s="30"/>
      <c r="B5" s="29" t="s">
        <v>241</v>
      </c>
      <c r="C5" s="30" t="s">
        <v>242</v>
      </c>
      <c r="D5" s="30" t="s">
        <v>232</v>
      </c>
      <c r="E5" s="30" t="s">
        <v>234</v>
      </c>
      <c r="F5" s="30" t="s">
        <v>232</v>
      </c>
      <c r="G5" s="30" t="s">
        <v>276</v>
      </c>
      <c r="K5" s="6"/>
      <c r="L5" s="27"/>
      <c r="M5" s="6"/>
    </row>
    <row r="6" spans="1:13" ht="112.8" customHeight="1" x14ac:dyDescent="0.3">
      <c r="A6" s="29" t="s">
        <v>243</v>
      </c>
      <c r="B6" s="29" t="s">
        <v>244</v>
      </c>
      <c r="C6" s="30" t="s">
        <v>245</v>
      </c>
      <c r="D6" s="30" t="s">
        <v>246</v>
      </c>
      <c r="E6" s="30" t="s">
        <v>234</v>
      </c>
      <c r="F6" s="30" t="s">
        <v>234</v>
      </c>
      <c r="G6" s="30" t="s">
        <v>277</v>
      </c>
      <c r="K6" s="27"/>
      <c r="L6" s="27"/>
      <c r="M6" s="6"/>
    </row>
    <row r="7" spans="1:13" ht="112.8" customHeight="1" x14ac:dyDescent="0.3">
      <c r="A7" s="30"/>
      <c r="B7" s="29" t="s">
        <v>247</v>
      </c>
      <c r="C7" s="30" t="s">
        <v>248</v>
      </c>
      <c r="D7" s="30" t="s">
        <v>246</v>
      </c>
      <c r="E7" s="30" t="s">
        <v>233</v>
      </c>
      <c r="F7" s="30" t="s">
        <v>246</v>
      </c>
      <c r="G7" s="30" t="s">
        <v>278</v>
      </c>
      <c r="K7" s="6"/>
      <c r="L7" s="27"/>
      <c r="M7" s="6"/>
    </row>
    <row r="8" spans="1:13" ht="112.8" customHeight="1" x14ac:dyDescent="0.3">
      <c r="A8" s="29" t="s">
        <v>249</v>
      </c>
      <c r="B8" s="29" t="s">
        <v>250</v>
      </c>
      <c r="C8" s="30" t="s">
        <v>251</v>
      </c>
      <c r="D8" s="30" t="s">
        <v>246</v>
      </c>
      <c r="E8" s="30" t="s">
        <v>233</v>
      </c>
      <c r="F8" s="30" t="s">
        <v>232</v>
      </c>
      <c r="G8" s="30" t="s">
        <v>279</v>
      </c>
      <c r="K8" s="27"/>
      <c r="L8" s="27"/>
      <c r="M8" s="6"/>
    </row>
    <row r="9" spans="1:13" ht="112.8" customHeight="1" x14ac:dyDescent="0.3">
      <c r="A9" s="30"/>
      <c r="B9" s="29" t="s">
        <v>252</v>
      </c>
      <c r="C9" s="30" t="s">
        <v>253</v>
      </c>
      <c r="D9" s="30" t="s">
        <v>254</v>
      </c>
      <c r="E9" s="30" t="s">
        <v>240</v>
      </c>
      <c r="F9" s="30" t="s">
        <v>232</v>
      </c>
      <c r="G9" s="30" t="s">
        <v>280</v>
      </c>
      <c r="K9" s="6"/>
      <c r="L9" s="27"/>
      <c r="M9" s="6"/>
    </row>
    <row r="10" spans="1:13" ht="112.8" customHeight="1" x14ac:dyDescent="0.3">
      <c r="A10" s="30"/>
      <c r="B10" s="29" t="s">
        <v>255</v>
      </c>
      <c r="C10" s="30" t="s">
        <v>256</v>
      </c>
      <c r="D10" s="30" t="s">
        <v>246</v>
      </c>
      <c r="E10" s="30" t="s">
        <v>233</v>
      </c>
      <c r="F10" s="30" t="s">
        <v>234</v>
      </c>
      <c r="G10" s="30" t="s">
        <v>281</v>
      </c>
      <c r="K10" s="6"/>
      <c r="L10" s="27"/>
      <c r="M10" s="6"/>
    </row>
    <row r="11" spans="1:13" ht="112.8" customHeight="1" x14ac:dyDescent="0.3">
      <c r="A11" s="29" t="s">
        <v>257</v>
      </c>
      <c r="B11" s="29" t="s">
        <v>258</v>
      </c>
      <c r="C11" s="30" t="s">
        <v>259</v>
      </c>
      <c r="D11" s="30" t="s">
        <v>232</v>
      </c>
      <c r="E11" s="30" t="s">
        <v>233</v>
      </c>
      <c r="F11" s="30" t="s">
        <v>234</v>
      </c>
      <c r="G11" s="30" t="s">
        <v>282</v>
      </c>
      <c r="K11" s="27"/>
      <c r="L11" s="27"/>
      <c r="M11" s="6"/>
    </row>
    <row r="12" spans="1:13" ht="112.8" customHeight="1" x14ac:dyDescent="0.3">
      <c r="A12" s="30"/>
      <c r="B12" s="29" t="s">
        <v>260</v>
      </c>
      <c r="C12" s="30" t="s">
        <v>261</v>
      </c>
      <c r="D12" s="30" t="s">
        <v>232</v>
      </c>
      <c r="E12" s="30" t="s">
        <v>233</v>
      </c>
      <c r="F12" s="30" t="s">
        <v>234</v>
      </c>
      <c r="G12" s="30" t="s">
        <v>283</v>
      </c>
      <c r="K12" s="6"/>
      <c r="L12" s="27"/>
      <c r="M12" s="6"/>
    </row>
    <row r="13" spans="1:13" ht="112.8" customHeight="1" x14ac:dyDescent="0.3">
      <c r="A13" s="29" t="s">
        <v>262</v>
      </c>
      <c r="B13" s="29" t="s">
        <v>263</v>
      </c>
      <c r="C13" s="30" t="s">
        <v>264</v>
      </c>
      <c r="D13" s="30" t="s">
        <v>232</v>
      </c>
      <c r="E13" s="30" t="s">
        <v>233</v>
      </c>
      <c r="F13" s="30" t="s">
        <v>234</v>
      </c>
      <c r="G13" s="30" t="s">
        <v>284</v>
      </c>
      <c r="K13" s="27"/>
      <c r="L13" s="27"/>
      <c r="M13" s="6"/>
    </row>
    <row r="14" spans="1:13" ht="112.8" customHeight="1" x14ac:dyDescent="0.3">
      <c r="A14" s="30"/>
      <c r="B14" s="29" t="s">
        <v>265</v>
      </c>
      <c r="C14" s="30" t="s">
        <v>266</v>
      </c>
      <c r="D14" s="30" t="s">
        <v>232</v>
      </c>
      <c r="E14" s="30" t="s">
        <v>233</v>
      </c>
      <c r="F14" s="30" t="s">
        <v>234</v>
      </c>
      <c r="G14" s="30" t="s">
        <v>285</v>
      </c>
      <c r="K14" s="6"/>
      <c r="L14" s="27"/>
      <c r="M14" s="6"/>
    </row>
    <row r="15" spans="1:13" ht="112.8" customHeight="1" x14ac:dyDescent="0.3">
      <c r="A15" s="29" t="s">
        <v>267</v>
      </c>
      <c r="B15" s="29" t="s">
        <v>268</v>
      </c>
      <c r="C15" s="30" t="s">
        <v>269</v>
      </c>
      <c r="D15" s="30" t="s">
        <v>232</v>
      </c>
      <c r="E15" s="30" t="s">
        <v>240</v>
      </c>
      <c r="F15" s="30" t="s">
        <v>232</v>
      </c>
      <c r="G15" s="30" t="s">
        <v>286</v>
      </c>
      <c r="K15" s="27"/>
      <c r="L15" s="27"/>
      <c r="M15" s="6"/>
    </row>
    <row r="16" spans="1:13" ht="112.8" customHeight="1" x14ac:dyDescent="0.3">
      <c r="A16" s="30"/>
      <c r="B16" s="29" t="s">
        <v>270</v>
      </c>
      <c r="C16" s="30" t="s">
        <v>271</v>
      </c>
      <c r="D16" s="30" t="s">
        <v>232</v>
      </c>
      <c r="E16" s="30" t="s">
        <v>233</v>
      </c>
      <c r="F16" s="30" t="s">
        <v>234</v>
      </c>
      <c r="G16" s="30" t="s">
        <v>287</v>
      </c>
      <c r="K16" s="6"/>
      <c r="L16" s="27"/>
      <c r="M1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3D88-B717-4890-94D1-1DEE25C51264}">
  <dimension ref="A1:M17"/>
  <sheetViews>
    <sheetView tabSelected="1" workbookViewId="0">
      <selection activeCell="L1" sqref="L1"/>
    </sheetView>
  </sheetViews>
  <sheetFormatPr defaultRowHeight="14.4" x14ac:dyDescent="0.3"/>
  <sheetData>
    <row r="1" spans="1:13" ht="15.6" thickTop="1" thickBot="1" x14ac:dyDescent="0.35">
      <c r="A1" s="51" t="s">
        <v>288</v>
      </c>
      <c r="B1" s="54" t="s">
        <v>289</v>
      </c>
      <c r="C1" s="55"/>
      <c r="D1" s="54" t="s">
        <v>290</v>
      </c>
      <c r="E1" s="55"/>
      <c r="F1" s="51" t="s">
        <v>291</v>
      </c>
      <c r="G1" s="51" t="s">
        <v>292</v>
      </c>
      <c r="H1" s="6"/>
      <c r="J1">
        <v>4</v>
      </c>
      <c r="K1">
        <v>1</v>
      </c>
      <c r="L1">
        <f>4.75+0.15</f>
        <v>4.9000000000000004</v>
      </c>
      <c r="M1">
        <v>4</v>
      </c>
    </row>
    <row r="2" spans="1:13" ht="15" thickTop="1" x14ac:dyDescent="0.3">
      <c r="A2" s="52"/>
      <c r="B2" s="56" t="s">
        <v>293</v>
      </c>
      <c r="C2" s="58" t="s">
        <v>294</v>
      </c>
      <c r="D2" s="56" t="s">
        <v>295</v>
      </c>
      <c r="E2" s="58" t="s">
        <v>296</v>
      </c>
      <c r="F2" s="52"/>
      <c r="G2" s="52"/>
      <c r="H2" s="6"/>
      <c r="J2">
        <v>4</v>
      </c>
      <c r="K2">
        <v>5</v>
      </c>
      <c r="L2">
        <v>4</v>
      </c>
      <c r="M2">
        <v>5</v>
      </c>
    </row>
    <row r="3" spans="1:13" ht="15" thickBot="1" x14ac:dyDescent="0.35">
      <c r="A3" s="53"/>
      <c r="B3" s="57"/>
      <c r="C3" s="59"/>
      <c r="D3" s="57"/>
      <c r="E3" s="59"/>
      <c r="F3" s="53"/>
      <c r="G3" s="53"/>
      <c r="H3" s="6"/>
      <c r="I3" s="6"/>
    </row>
    <row r="4" spans="1:13" ht="15.6" thickTop="1" thickBot="1" x14ac:dyDescent="0.35">
      <c r="A4" s="61" t="s">
        <v>297</v>
      </c>
      <c r="B4" s="31">
        <v>32768</v>
      </c>
      <c r="C4" s="63" t="s">
        <v>298</v>
      </c>
      <c r="D4" s="34">
        <v>128</v>
      </c>
      <c r="E4" s="35">
        <v>4</v>
      </c>
      <c r="F4" s="36">
        <v>4</v>
      </c>
      <c r="G4" s="36">
        <v>0</v>
      </c>
      <c r="H4" s="6"/>
      <c r="I4" s="6"/>
    </row>
    <row r="5" spans="1:13" ht="15" thickBot="1" x14ac:dyDescent="0.35">
      <c r="A5" s="52"/>
      <c r="B5" s="31">
        <v>-4097</v>
      </c>
      <c r="C5" s="64"/>
      <c r="D5" s="34">
        <v>128</v>
      </c>
      <c r="E5" s="35">
        <v>5</v>
      </c>
      <c r="F5" s="36">
        <v>2</v>
      </c>
      <c r="G5" s="36">
        <v>0</v>
      </c>
      <c r="H5" s="6"/>
      <c r="I5" s="6"/>
    </row>
    <row r="6" spans="1:13" ht="15" thickBot="1" x14ac:dyDescent="0.35">
      <c r="A6" s="52"/>
      <c r="B6" s="32"/>
      <c r="C6" s="64"/>
      <c r="D6" s="34">
        <v>128</v>
      </c>
      <c r="E6" s="35">
        <v>6</v>
      </c>
      <c r="F6" s="36">
        <v>2</v>
      </c>
      <c r="G6" s="36">
        <v>0</v>
      </c>
      <c r="H6" s="6"/>
      <c r="I6" s="6"/>
    </row>
    <row r="7" spans="1:13" ht="15" thickBot="1" x14ac:dyDescent="0.35">
      <c r="A7" s="52"/>
      <c r="B7" s="32"/>
      <c r="C7" s="64"/>
      <c r="D7" s="34">
        <v>128</v>
      </c>
      <c r="E7" s="35">
        <v>7</v>
      </c>
      <c r="F7" s="36">
        <v>2</v>
      </c>
      <c r="G7" s="36">
        <v>0</v>
      </c>
      <c r="H7" s="6"/>
      <c r="I7" s="6"/>
    </row>
    <row r="8" spans="1:13" ht="15" thickBot="1" x14ac:dyDescent="0.35">
      <c r="A8" s="53"/>
      <c r="B8" s="33"/>
      <c r="C8" s="59"/>
      <c r="D8" s="37">
        <v>128</v>
      </c>
      <c r="E8" s="38">
        <v>8</v>
      </c>
      <c r="F8" s="39">
        <v>2</v>
      </c>
      <c r="G8" s="39">
        <v>0</v>
      </c>
      <c r="H8" s="6"/>
      <c r="I8" s="6"/>
    </row>
    <row r="9" spans="1:13" ht="15" thickTop="1" x14ac:dyDescent="0.3">
      <c r="A9" s="61">
        <v>3</v>
      </c>
      <c r="B9" s="31">
        <v>32769</v>
      </c>
      <c r="C9" s="63" t="s">
        <v>299</v>
      </c>
      <c r="D9" s="56">
        <v>128</v>
      </c>
      <c r="E9" s="67">
        <v>4</v>
      </c>
      <c r="F9" s="71">
        <v>2</v>
      </c>
      <c r="G9" s="71" t="s">
        <v>300</v>
      </c>
      <c r="H9" s="73"/>
      <c r="I9" s="60"/>
    </row>
    <row r="10" spans="1:13" ht="15" thickBot="1" x14ac:dyDescent="0.35">
      <c r="A10" s="53"/>
      <c r="B10" s="40">
        <v>-8193</v>
      </c>
      <c r="C10" s="59"/>
      <c r="D10" s="66"/>
      <c r="E10" s="68"/>
      <c r="F10" s="72"/>
      <c r="G10" s="72"/>
      <c r="H10" s="73"/>
      <c r="I10" s="60"/>
    </row>
    <row r="11" spans="1:13" ht="15.6" thickTop="1" thickBot="1" x14ac:dyDescent="0.35">
      <c r="A11" s="61">
        <v>4</v>
      </c>
      <c r="B11" s="31">
        <v>32770</v>
      </c>
      <c r="C11" s="63" t="s">
        <v>301</v>
      </c>
      <c r="D11" s="34">
        <v>128</v>
      </c>
      <c r="E11" s="42">
        <v>1</v>
      </c>
      <c r="F11" s="36">
        <v>2</v>
      </c>
      <c r="G11" s="36" t="s">
        <v>300</v>
      </c>
      <c r="H11" s="6"/>
      <c r="I11" s="6"/>
    </row>
    <row r="12" spans="1:13" ht="15" thickBot="1" x14ac:dyDescent="0.35">
      <c r="A12" s="52"/>
      <c r="B12" s="31">
        <v>-12289</v>
      </c>
      <c r="C12" s="64"/>
      <c r="D12" s="34">
        <v>128</v>
      </c>
      <c r="E12" s="45">
        <v>2</v>
      </c>
      <c r="F12" s="36">
        <v>4</v>
      </c>
      <c r="G12" s="36" t="s">
        <v>302</v>
      </c>
      <c r="H12" s="6"/>
      <c r="I12" s="6"/>
    </row>
    <row r="13" spans="1:13" ht="15" thickBot="1" x14ac:dyDescent="0.35">
      <c r="A13" s="52"/>
      <c r="B13" s="32"/>
      <c r="C13" s="64"/>
      <c r="D13" s="34"/>
      <c r="E13" s="35"/>
      <c r="F13" s="36"/>
      <c r="G13" s="36"/>
      <c r="H13" s="43"/>
      <c r="I13" s="6"/>
    </row>
    <row r="14" spans="1:13" ht="15" thickBot="1" x14ac:dyDescent="0.35">
      <c r="A14" s="62"/>
      <c r="B14" s="41"/>
      <c r="C14" s="65"/>
      <c r="D14" s="34"/>
      <c r="E14" s="35"/>
      <c r="F14" s="36"/>
      <c r="G14" s="36"/>
      <c r="H14" s="43"/>
      <c r="I14" s="6"/>
    </row>
    <row r="15" spans="1:13" ht="15" thickBot="1" x14ac:dyDescent="0.35">
      <c r="A15" s="69">
        <v>5</v>
      </c>
      <c r="B15" s="31">
        <v>32771</v>
      </c>
      <c r="C15" s="70" t="s">
        <v>303</v>
      </c>
      <c r="D15" s="34">
        <v>128</v>
      </c>
      <c r="E15" s="44">
        <v>4</v>
      </c>
      <c r="F15" s="36">
        <v>4</v>
      </c>
      <c r="G15" s="36" t="s">
        <v>302</v>
      </c>
      <c r="H15" s="6"/>
      <c r="I15" s="6"/>
    </row>
    <row r="16" spans="1:13" ht="15" thickBot="1" x14ac:dyDescent="0.35">
      <c r="A16" s="52"/>
      <c r="B16" s="31">
        <v>-16385</v>
      </c>
      <c r="C16" s="64"/>
      <c r="D16" s="34">
        <v>128</v>
      </c>
      <c r="E16" s="42">
        <v>7</v>
      </c>
      <c r="F16" s="36">
        <v>2</v>
      </c>
      <c r="G16" s="36" t="s">
        <v>300</v>
      </c>
      <c r="H16" s="6"/>
      <c r="I16" s="6"/>
    </row>
    <row r="17" spans="1:9" ht="15" thickBot="1" x14ac:dyDescent="0.35">
      <c r="A17" s="62"/>
      <c r="B17" s="41"/>
      <c r="C17" s="65"/>
      <c r="D17" s="34">
        <v>128</v>
      </c>
      <c r="E17" s="44">
        <v>8</v>
      </c>
      <c r="F17" s="36">
        <v>4</v>
      </c>
      <c r="G17" s="36" t="s">
        <v>304</v>
      </c>
      <c r="H17" s="6"/>
      <c r="I17" s="6"/>
    </row>
  </sheetData>
  <mergeCells count="23">
    <mergeCell ref="A15:A17"/>
    <mergeCell ref="C15:C17"/>
    <mergeCell ref="F9:F10"/>
    <mergeCell ref="G9:G10"/>
    <mergeCell ref="H9:H10"/>
    <mergeCell ref="I9:I10"/>
    <mergeCell ref="A11:A14"/>
    <mergeCell ref="C11:C14"/>
    <mergeCell ref="A4:A8"/>
    <mergeCell ref="C4:C8"/>
    <mergeCell ref="A9:A10"/>
    <mergeCell ref="C9:C10"/>
    <mergeCell ref="D9:D10"/>
    <mergeCell ref="E9:E10"/>
    <mergeCell ref="A1:A3"/>
    <mergeCell ref="B1:C1"/>
    <mergeCell ref="D1:E1"/>
    <mergeCell ref="F1:F3"/>
    <mergeCell ref="G1:G3"/>
    <mergeCell ref="B2:B3"/>
    <mergeCell ref="C2:C3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Лист4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Казанцев</dc:creator>
  <cp:lastModifiedBy>Антон Казанцев</cp:lastModifiedBy>
  <dcterms:created xsi:type="dcterms:W3CDTF">2025-03-30T13:33:48Z</dcterms:created>
  <dcterms:modified xsi:type="dcterms:W3CDTF">2025-04-02T06:56:22Z</dcterms:modified>
</cp:coreProperties>
</file>