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education\6 семестр\модел\"/>
    </mc:Choice>
  </mc:AlternateContent>
  <xr:revisionPtr revIDLastSave="0" documentId="13_ncr:1_{EDADA54A-85C5-4E36-B2F1-F0677A17A852}" xr6:coauthVersionLast="47" xr6:coauthVersionMax="47" xr10:uidLastSave="{00000000-0000-0000-0000-000000000000}"/>
  <bookViews>
    <workbookView xWindow="-108" yWindow="-108" windowWidth="23256" windowHeight="12456" tabRatio="540" firstSheet="4" activeTab="13" xr2:uid="{A13E42BC-86E1-49A4-8600-539A8349C4B1}"/>
  </bookViews>
  <sheets>
    <sheet name="практика по УП" sheetId="9" state="hidden" r:id="rId1"/>
    <sheet name="Практика 3 по вариантам х1 х2" sheetId="8" r:id="rId2"/>
    <sheet name="Лист2" sheetId="14" r:id="rId3"/>
    <sheet name="Лекция по УП" sheetId="7" state="hidden" r:id="rId4"/>
    <sheet name="Практика 3" sheetId="6" r:id="rId5"/>
    <sheet name="Лист3" sheetId="15" r:id="rId6"/>
    <sheet name="Практика 6(12.02.25)" sheetId="10" r:id="rId7"/>
    <sheet name="случайные" sheetId="12" r:id="rId8"/>
    <sheet name="Лист1" sheetId="13" r:id="rId9"/>
    <sheet name="практика(18,02)" sheetId="11" state="hidden" r:id="rId10"/>
    <sheet name="разрезы28.01" sheetId="3" state="hidden" r:id="rId11"/>
    <sheet name="куб" sheetId="4" state="hidden" r:id="rId12"/>
    <sheet name="29,01модельЛинейная" sheetId="1" state="hidden" r:id="rId13"/>
    <sheet name="30,01модельКривая" sheetId="2" r:id="rId14"/>
    <sheet name="Сети1" sheetId="5" r:id="rId15"/>
  </sheets>
  <definedNames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'Практика 6(12.02.25)'!$R$3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2" l="1"/>
  <c r="A18" i="15"/>
  <c r="B1" i="15" s="1"/>
  <c r="B2" i="15" s="1"/>
  <c r="B3" i="15" s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I30" i="13"/>
  <c r="H30" i="13"/>
  <c r="G30" i="13"/>
  <c r="F30" i="13"/>
  <c r="F29" i="13"/>
  <c r="F28" i="13"/>
  <c r="CW1" i="13"/>
  <c r="CW3" i="13"/>
  <c r="CT1" i="13"/>
  <c r="CU1" i="13"/>
  <c r="CV1" i="13"/>
  <c r="CT3" i="13"/>
  <c r="CU3" i="13"/>
  <c r="CV3" i="13" s="1"/>
  <c r="CP1" i="13"/>
  <c r="CQ1" i="13"/>
  <c r="CR1" i="13"/>
  <c r="CS1" i="13"/>
  <c r="CP3" i="13"/>
  <c r="CQ3" i="13" s="1"/>
  <c r="CR3" i="13" s="1"/>
  <c r="CS3" i="13" s="1"/>
  <c r="CA1" i="13"/>
  <c r="CB1" i="13"/>
  <c r="CC1" i="13"/>
  <c r="CD1" i="13"/>
  <c r="CE1" i="13"/>
  <c r="CF1" i="13"/>
  <c r="CG1" i="13"/>
  <c r="CH1" i="13"/>
  <c r="CI1" i="13"/>
  <c r="CJ1" i="13"/>
  <c r="CK1" i="13"/>
  <c r="CL1" i="13"/>
  <c r="CM1" i="13"/>
  <c r="CN1" i="13"/>
  <c r="CO1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BL1" i="13"/>
  <c r="BM1" i="13"/>
  <c r="BN1" i="13"/>
  <c r="BO1" i="13"/>
  <c r="BP1" i="13"/>
  <c r="BQ1" i="13"/>
  <c r="BR1" i="13"/>
  <c r="BS1" i="13"/>
  <c r="BT1" i="13"/>
  <c r="BU1" i="13"/>
  <c r="BV1" i="13"/>
  <c r="BW1" i="13"/>
  <c r="BX1" i="13"/>
  <c r="BY1" i="13"/>
  <c r="BZ1" i="13"/>
  <c r="BL3" i="13"/>
  <c r="BM3" i="13"/>
  <c r="BN3" i="13"/>
  <c r="BO3" i="13"/>
  <c r="BP3" i="13"/>
  <c r="BQ3" i="13"/>
  <c r="BR3" i="13"/>
  <c r="BS3" i="13"/>
  <c r="BT3" i="13"/>
  <c r="BU3" i="13"/>
  <c r="BV3" i="13" s="1"/>
  <c r="BW3" i="13" s="1"/>
  <c r="BX3" i="13" s="1"/>
  <c r="BY3" i="13" s="1"/>
  <c r="BZ3" i="13" s="1"/>
  <c r="C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BB1" i="13"/>
  <c r="BC1" i="13"/>
  <c r="BD1" i="13"/>
  <c r="BE1" i="13"/>
  <c r="BF1" i="13"/>
  <c r="BG1" i="13"/>
  <c r="BH1" i="13"/>
  <c r="BI1" i="13"/>
  <c r="BJ1" i="13"/>
  <c r="BK1" i="13"/>
  <c r="B1" i="13"/>
  <c r="D3" i="13"/>
  <c r="E3" i="13" s="1"/>
  <c r="C3" i="13"/>
  <c r="B3" i="13"/>
  <c r="A13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10" i="12"/>
  <c r="B9" i="12"/>
  <c r="B8" i="12" s="1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H2" i="12"/>
  <c r="BI2" i="12"/>
  <c r="BJ2" i="12"/>
  <c r="BK2" i="12"/>
  <c r="BH5" i="12"/>
  <c r="BI5" i="12"/>
  <c r="BJ5" i="12"/>
  <c r="BK5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C5" i="12"/>
  <c r="B5" i="12"/>
  <c r="C2" i="12"/>
  <c r="B2" i="12"/>
  <c r="B3" i="12"/>
  <c r="C3" i="12" s="1"/>
  <c r="D3" i="12" s="1"/>
  <c r="J2" i="7"/>
  <c r="D2" i="7"/>
  <c r="P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B15" i="10"/>
  <c r="B13" i="10"/>
  <c r="B14" i="10"/>
  <c r="D13" i="10"/>
  <c r="E13" i="10"/>
  <c r="F13" i="10"/>
  <c r="G13" i="10"/>
  <c r="H13" i="10"/>
  <c r="I13" i="10"/>
  <c r="J13" i="10"/>
  <c r="K13" i="10"/>
  <c r="L13" i="10"/>
  <c r="M13" i="10"/>
  <c r="N13" i="10"/>
  <c r="D14" i="10"/>
  <c r="E14" i="10"/>
  <c r="F14" i="10"/>
  <c r="G14" i="10"/>
  <c r="H14" i="10"/>
  <c r="I14" i="10"/>
  <c r="J14" i="10"/>
  <c r="K14" i="10"/>
  <c r="L14" i="10"/>
  <c r="M14" i="10"/>
  <c r="N14" i="10"/>
  <c r="C14" i="10"/>
  <c r="C13" i="10"/>
  <c r="B12" i="10"/>
  <c r="B19" i="10"/>
  <c r="B18" i="10"/>
  <c r="B17" i="10"/>
  <c r="P3" i="10"/>
  <c r="T16" i="10"/>
  <c r="T17" i="10"/>
  <c r="T15" i="10"/>
  <c r="R16" i="10"/>
  <c r="S16" i="10"/>
  <c r="R17" i="10"/>
  <c r="S17" i="10"/>
  <c r="S15" i="10"/>
  <c r="R15" i="10"/>
  <c r="T12" i="10"/>
  <c r="T13" i="10"/>
  <c r="T11" i="10"/>
  <c r="S12" i="10"/>
  <c r="S13" i="10"/>
  <c r="R12" i="10"/>
  <c r="R13" i="10"/>
  <c r="R11" i="10"/>
  <c r="R8" i="10"/>
  <c r="R9" i="10"/>
  <c r="S8" i="10"/>
  <c r="T8" i="10"/>
  <c r="S9" i="10"/>
  <c r="T9" i="10"/>
  <c r="T7" i="10"/>
  <c r="S7" i="10"/>
  <c r="R5" i="10"/>
  <c r="S5" i="10"/>
  <c r="T5" i="10"/>
  <c r="T4" i="10"/>
  <c r="S4" i="10"/>
  <c r="R4" i="10"/>
  <c r="U5" i="10"/>
  <c r="U4" i="10"/>
  <c r="U3" i="10"/>
  <c r="R7" i="10" s="1"/>
  <c r="T3" i="10"/>
  <c r="S3" i="10"/>
  <c r="R3" i="10"/>
  <c r="P9" i="10"/>
  <c r="P10" i="10"/>
  <c r="D10" i="10"/>
  <c r="E10" i="10"/>
  <c r="F10" i="10"/>
  <c r="G10" i="10"/>
  <c r="H10" i="10"/>
  <c r="I10" i="10"/>
  <c r="J10" i="10"/>
  <c r="K10" i="10"/>
  <c r="L10" i="10"/>
  <c r="M10" i="10"/>
  <c r="N10" i="10"/>
  <c r="C10" i="10"/>
  <c r="D9" i="10"/>
  <c r="E9" i="10"/>
  <c r="F9" i="10"/>
  <c r="G9" i="10"/>
  <c r="H9" i="10"/>
  <c r="I9" i="10"/>
  <c r="J9" i="10"/>
  <c r="K9" i="10"/>
  <c r="L9" i="10"/>
  <c r="M9" i="10"/>
  <c r="N9" i="10"/>
  <c r="C9" i="10"/>
  <c r="B5" i="10"/>
  <c r="CW2" i="13" l="1"/>
  <c r="CW4" i="13" s="1"/>
  <c r="B7" i="13" s="1"/>
  <c r="A12" i="13" s="1"/>
  <c r="CT2" i="13"/>
  <c r="CT4" i="13" s="1"/>
  <c r="CS2" i="13"/>
  <c r="CS4" i="13" s="1"/>
  <c r="CP2" i="13"/>
  <c r="CP4" i="13" s="1"/>
  <c r="CV2" i="13"/>
  <c r="CV4" i="13" s="1"/>
  <c r="CU2" i="13"/>
  <c r="CU4" i="13" s="1"/>
  <c r="CK2" i="13"/>
  <c r="CK4" i="13" s="1"/>
  <c r="CH2" i="13"/>
  <c r="CH4" i="13" s="1"/>
  <c r="CL2" i="13"/>
  <c r="CL4" i="13" s="1"/>
  <c r="CJ2" i="13"/>
  <c r="CJ4" i="13" s="1"/>
  <c r="CI2" i="13"/>
  <c r="CI4" i="13" s="1"/>
  <c r="CF2" i="13"/>
  <c r="CF4" i="13" s="1"/>
  <c r="CD2" i="13"/>
  <c r="CD4" i="13" s="1"/>
  <c r="CR2" i="13"/>
  <c r="CR4" i="13" s="1"/>
  <c r="CQ2" i="13"/>
  <c r="CQ4" i="13" s="1"/>
  <c r="BD9" i="13"/>
  <c r="BP2" i="13"/>
  <c r="BP4" i="13" s="1"/>
  <c r="BN2" i="13"/>
  <c r="BN4" i="13" s="1"/>
  <c r="BQ2" i="13"/>
  <c r="BQ4" i="13" s="1"/>
  <c r="D9" i="13"/>
  <c r="D10" i="13" s="1"/>
  <c r="CB2" i="13"/>
  <c r="CB4" i="13" s="1"/>
  <c r="CA2" i="13"/>
  <c r="CA4" i="13" s="1"/>
  <c r="CG2" i="13"/>
  <c r="CG4" i="13" s="1"/>
  <c r="CE2" i="13"/>
  <c r="CE4" i="13" s="1"/>
  <c r="CC2" i="13"/>
  <c r="CC4" i="13" s="1"/>
  <c r="CO2" i="13"/>
  <c r="CO4" i="13" s="1"/>
  <c r="CN2" i="13"/>
  <c r="CN4" i="13" s="1"/>
  <c r="CM2" i="13"/>
  <c r="CM4" i="13" s="1"/>
  <c r="BO2" i="13"/>
  <c r="BO4" i="13" s="1"/>
  <c r="U9" i="13"/>
  <c r="T9" i="13"/>
  <c r="S9" i="13"/>
  <c r="BY2" i="13"/>
  <c r="BY4" i="13" s="1"/>
  <c r="L9" i="13"/>
  <c r="BX2" i="13"/>
  <c r="BX4" i="13" s="1"/>
  <c r="BB9" i="13"/>
  <c r="AH9" i="13"/>
  <c r="N9" i="13"/>
  <c r="BW2" i="13"/>
  <c r="BW4" i="13" s="1"/>
  <c r="BE9" i="13"/>
  <c r="BE10" i="13" s="1"/>
  <c r="AF9" i="13"/>
  <c r="AF10" i="13" s="1"/>
  <c r="BV2" i="13"/>
  <c r="BV4" i="13" s="1"/>
  <c r="AZ9" i="13"/>
  <c r="O9" i="13"/>
  <c r="BU2" i="13"/>
  <c r="BU4" i="13" s="1"/>
  <c r="AQ9" i="13"/>
  <c r="V9" i="13"/>
  <c r="W9" i="13"/>
  <c r="BM2" i="13"/>
  <c r="BM4" i="13" s="1"/>
  <c r="BL2" i="13"/>
  <c r="BL4" i="13" s="1"/>
  <c r="AP9" i="13"/>
  <c r="AO9" i="13"/>
  <c r="AN9" i="13"/>
  <c r="AM9" i="13"/>
  <c r="BZ2" i="13"/>
  <c r="BZ4" i="13" s="1"/>
  <c r="X9" i="13"/>
  <c r="AY9" i="13"/>
  <c r="AE9" i="13"/>
  <c r="K9" i="13"/>
  <c r="BT2" i="13"/>
  <c r="BT4" i="13" s="1"/>
  <c r="AI9" i="13"/>
  <c r="AI10" i="13" s="1"/>
  <c r="AX9" i="13"/>
  <c r="AD9" i="13"/>
  <c r="J9" i="13"/>
  <c r="BS2" i="13"/>
  <c r="BS4" i="13" s="1"/>
  <c r="AR9" i="13"/>
  <c r="AU9" i="13"/>
  <c r="AC9" i="13"/>
  <c r="C9" i="13"/>
  <c r="BR2" i="13"/>
  <c r="BR4" i="13" s="1"/>
  <c r="BC9" i="13"/>
  <c r="AV9" i="13"/>
  <c r="AB9" i="13"/>
  <c r="H9" i="13"/>
  <c r="E9" i="13"/>
  <c r="Y9" i="13"/>
  <c r="AS9" i="13"/>
  <c r="F9" i="13"/>
  <c r="Z9" i="13"/>
  <c r="G9" i="13"/>
  <c r="G10" i="13" s="1"/>
  <c r="AA9" i="13"/>
  <c r="AA10" i="13" s="1"/>
  <c r="I9" i="13"/>
  <c r="AW9" i="13"/>
  <c r="M9" i="13"/>
  <c r="AG9" i="13"/>
  <c r="BA9" i="13"/>
  <c r="AT9" i="13"/>
  <c r="P9" i="13"/>
  <c r="AJ9" i="13"/>
  <c r="Q9" i="13"/>
  <c r="AK9" i="13"/>
  <c r="R9" i="13"/>
  <c r="AL9" i="13"/>
  <c r="BK2" i="13"/>
  <c r="AV2" i="13"/>
  <c r="W2" i="13"/>
  <c r="AW2" i="13"/>
  <c r="AA2" i="13"/>
  <c r="AX2" i="13"/>
  <c r="B2" i="13"/>
  <c r="B4" i="13" s="1"/>
  <c r="AY2" i="13"/>
  <c r="AC2" i="13"/>
  <c r="AD2" i="13"/>
  <c r="AE2" i="13"/>
  <c r="I2" i="13"/>
  <c r="AF2" i="13"/>
  <c r="J2" i="13"/>
  <c r="AG2" i="13"/>
  <c r="BD2" i="13"/>
  <c r="K2" i="13"/>
  <c r="AH2" i="13"/>
  <c r="BE2" i="13"/>
  <c r="L2" i="13"/>
  <c r="AI2" i="13"/>
  <c r="BF2" i="13"/>
  <c r="AO2" i="13"/>
  <c r="R2" i="13"/>
  <c r="S2" i="13"/>
  <c r="AP2" i="13"/>
  <c r="T2" i="13"/>
  <c r="AQ2" i="13"/>
  <c r="AT2" i="13"/>
  <c r="U2" i="13"/>
  <c r="AU2" i="13"/>
  <c r="V2" i="13"/>
  <c r="B9" i="13"/>
  <c r="AB2" i="13"/>
  <c r="C2" i="13"/>
  <c r="C4" i="13" s="1"/>
  <c r="AZ2" i="13"/>
  <c r="G2" i="13"/>
  <c r="BA2" i="13"/>
  <c r="H2" i="13"/>
  <c r="BB2" i="13"/>
  <c r="BC2" i="13"/>
  <c r="M2" i="13"/>
  <c r="AJ2" i="13"/>
  <c r="BG2" i="13"/>
  <c r="N2" i="13"/>
  <c r="AK2" i="13"/>
  <c r="BH2" i="13"/>
  <c r="O2" i="13"/>
  <c r="AL2" i="13"/>
  <c r="BI2" i="13"/>
  <c r="P2" i="13"/>
  <c r="AM2" i="13"/>
  <c r="BJ2" i="13"/>
  <c r="Q2" i="13"/>
  <c r="AN2" i="13"/>
  <c r="D2" i="13"/>
  <c r="D4" i="13" s="1"/>
  <c r="X2" i="13"/>
  <c r="AR2" i="13"/>
  <c r="E2" i="13"/>
  <c r="E4" i="13" s="1"/>
  <c r="Y2" i="13"/>
  <c r="AS2" i="13"/>
  <c r="F2" i="13"/>
  <c r="Z2" i="13"/>
  <c r="F3" i="13"/>
  <c r="H8" i="12"/>
  <c r="U8" i="12"/>
  <c r="T8" i="12"/>
  <c r="S8" i="12"/>
  <c r="AL8" i="12"/>
  <c r="Q8" i="12"/>
  <c r="BD8" i="12"/>
  <c r="AJ8" i="12"/>
  <c r="O8" i="12"/>
  <c r="BB8" i="12"/>
  <c r="AH8" i="12"/>
  <c r="AG8" i="12"/>
  <c r="AZ8" i="12"/>
  <c r="AX8" i="12"/>
  <c r="AD8" i="12"/>
  <c r="J8" i="12"/>
  <c r="AU8" i="12"/>
  <c r="AA8" i="12"/>
  <c r="G8" i="12"/>
  <c r="AT8" i="12"/>
  <c r="Z8" i="12"/>
  <c r="F8" i="12"/>
  <c r="AS8" i="12"/>
  <c r="Y8" i="12"/>
  <c r="E8" i="12"/>
  <c r="AR8" i="12"/>
  <c r="X8" i="12"/>
  <c r="D8" i="12"/>
  <c r="AQ8" i="12"/>
  <c r="W8" i="12"/>
  <c r="C8" i="12"/>
  <c r="AP8" i="12"/>
  <c r="V8" i="12"/>
  <c r="AO8" i="12"/>
  <c r="AN8" i="12"/>
  <c r="AM8" i="12"/>
  <c r="R8" i="12"/>
  <c r="BE8" i="12"/>
  <c r="AK8" i="12"/>
  <c r="P8" i="12"/>
  <c r="BC8" i="12"/>
  <c r="AI8" i="12"/>
  <c r="N8" i="12"/>
  <c r="BA8" i="12"/>
  <c r="M8" i="12"/>
  <c r="AF8" i="12"/>
  <c r="L8" i="12"/>
  <c r="AY8" i="12"/>
  <c r="AE8" i="12"/>
  <c r="K8" i="12"/>
  <c r="AW8" i="12"/>
  <c r="AC8" i="12"/>
  <c r="I8" i="12"/>
  <c r="AV8" i="12"/>
  <c r="AB8" i="12"/>
  <c r="B4" i="12"/>
  <c r="E3" i="12"/>
  <c r="D4" i="12"/>
  <c r="C4" i="12"/>
  <c r="S11" i="10"/>
  <c r="D11" i="10"/>
  <c r="D12" i="10" s="1"/>
  <c r="N11" i="10"/>
  <c r="N12" i="10" s="1"/>
  <c r="L11" i="10"/>
  <c r="L12" i="10" s="1"/>
  <c r="K11" i="10"/>
  <c r="K12" i="10" s="1"/>
  <c r="J11" i="10"/>
  <c r="J12" i="10" s="1"/>
  <c r="I11" i="10"/>
  <c r="I12" i="10" s="1"/>
  <c r="H11" i="10"/>
  <c r="H12" i="10" s="1"/>
  <c r="G11" i="10"/>
  <c r="G12" i="10" s="1"/>
  <c r="F11" i="10"/>
  <c r="F12" i="10" s="1"/>
  <c r="E11" i="10"/>
  <c r="E12" i="10" s="1"/>
  <c r="F6" i="10"/>
  <c r="G6" i="10"/>
  <c r="H6" i="10"/>
  <c r="F5" i="10"/>
  <c r="F7" i="10" s="1"/>
  <c r="G5" i="10"/>
  <c r="G7" i="10" s="1"/>
  <c r="C4" i="10"/>
  <c r="P4" i="10" s="1"/>
  <c r="D4" i="10"/>
  <c r="E4" i="10"/>
  <c r="F4" i="10"/>
  <c r="G4" i="10"/>
  <c r="H4" i="10"/>
  <c r="H5" i="10" s="1"/>
  <c r="H7" i="10" s="1"/>
  <c r="I4" i="10"/>
  <c r="I5" i="10" s="1"/>
  <c r="I7" i="10" s="1"/>
  <c r="J4" i="10"/>
  <c r="J5" i="10" s="1"/>
  <c r="J7" i="10" s="1"/>
  <c r="K4" i="10"/>
  <c r="K5" i="10" s="1"/>
  <c r="K7" i="10" s="1"/>
  <c r="L4" i="10"/>
  <c r="L5" i="10" s="1"/>
  <c r="L7" i="10" s="1"/>
  <c r="M4" i="10"/>
  <c r="M5" i="10" s="1"/>
  <c r="M7" i="10" s="1"/>
  <c r="N4" i="10"/>
  <c r="B4" i="10"/>
  <c r="AJ43" i="7"/>
  <c r="AH42" i="7"/>
  <c r="AO42" i="7" s="1"/>
  <c r="AG42" i="7"/>
  <c r="AM42" i="7" s="1"/>
  <c r="AF42" i="7"/>
  <c r="AN42" i="7" s="1"/>
  <c r="AE42" i="7"/>
  <c r="AL42" i="7" s="1"/>
  <c r="AO41" i="7"/>
  <c r="AN41" i="7"/>
  <c r="AM41" i="7"/>
  <c r="AH41" i="7"/>
  <c r="AG41" i="7"/>
  <c r="AF41" i="7"/>
  <c r="AE41" i="7"/>
  <c r="AL41" i="7" s="1"/>
  <c r="AH40" i="7"/>
  <c r="AG40" i="7"/>
  <c r="AF40" i="7"/>
  <c r="AE40" i="7"/>
  <c r="AH39" i="7"/>
  <c r="AG39" i="7"/>
  <c r="AM39" i="7" s="1"/>
  <c r="AF39" i="7"/>
  <c r="AN39" i="7" s="1"/>
  <c r="AE39" i="7"/>
  <c r="AL39" i="7" s="1"/>
  <c r="AH38" i="7"/>
  <c r="AO38" i="7" s="1"/>
  <c r="AG38" i="7"/>
  <c r="AM38" i="7" s="1"/>
  <c r="AF38" i="7"/>
  <c r="AN38" i="7" s="1"/>
  <c r="AE38" i="7"/>
  <c r="AL38" i="7" s="1"/>
  <c r="AH37" i="7"/>
  <c r="AG37" i="7"/>
  <c r="AM37" i="7" s="1"/>
  <c r="AF37" i="7"/>
  <c r="AN37" i="7" s="1"/>
  <c r="AE37" i="7"/>
  <c r="AL37" i="7" s="1"/>
  <c r="AN36" i="7"/>
  <c r="AM36" i="7"/>
  <c r="AL36" i="7"/>
  <c r="AH36" i="7"/>
  <c r="AO36" i="7" s="1"/>
  <c r="AG36" i="7"/>
  <c r="AF36" i="7"/>
  <c r="AE36" i="7"/>
  <c r="AN35" i="7"/>
  <c r="AM35" i="7"/>
  <c r="AL35" i="7"/>
  <c r="AH35" i="7"/>
  <c r="AO35" i="7" s="1"/>
  <c r="AG35" i="7"/>
  <c r="AF35" i="7"/>
  <c r="AE35" i="7"/>
  <c r="AH34" i="7"/>
  <c r="AO34" i="7" s="1"/>
  <c r="AG34" i="7"/>
  <c r="AM34" i="7" s="1"/>
  <c r="AF34" i="7"/>
  <c r="AN34" i="7" s="1"/>
  <c r="AE34" i="7"/>
  <c r="AL34" i="7" s="1"/>
  <c r="AO33" i="7"/>
  <c r="AH33" i="7"/>
  <c r="AG33" i="7"/>
  <c r="AM33" i="7" s="1"/>
  <c r="AF33" i="7"/>
  <c r="AN33" i="7" s="1"/>
  <c r="AE33" i="7"/>
  <c r="AL33" i="7" s="1"/>
  <c r="AO32" i="7"/>
  <c r="AH32" i="7"/>
  <c r="AG32" i="7"/>
  <c r="AM32" i="7" s="1"/>
  <c r="AF32" i="7"/>
  <c r="AN32" i="7" s="1"/>
  <c r="AE32" i="7"/>
  <c r="AL32" i="7" s="1"/>
  <c r="AN31" i="7"/>
  <c r="AM31" i="7"/>
  <c r="AL31" i="7"/>
  <c r="AH31" i="7"/>
  <c r="AO31" i="7" s="1"/>
  <c r="AG31" i="7"/>
  <c r="AF31" i="7"/>
  <c r="AE31" i="7"/>
  <c r="AN30" i="7"/>
  <c r="AM30" i="7"/>
  <c r="AL30" i="7"/>
  <c r="AH30" i="7"/>
  <c r="AO30" i="7" s="1"/>
  <c r="AG30" i="7"/>
  <c r="AF30" i="7"/>
  <c r="AE30" i="7"/>
  <c r="AH29" i="7"/>
  <c r="AO29" i="7" s="1"/>
  <c r="AG29" i="7"/>
  <c r="AM29" i="7" s="1"/>
  <c r="AF29" i="7"/>
  <c r="AN29" i="7" s="1"/>
  <c r="AE29" i="7"/>
  <c r="AL29" i="7" s="1"/>
  <c r="AO28" i="7"/>
  <c r="AH28" i="7"/>
  <c r="AG28" i="7"/>
  <c r="AM28" i="7" s="1"/>
  <c r="AF28" i="7"/>
  <c r="AN28" i="7" s="1"/>
  <c r="AE28" i="7"/>
  <c r="AL28" i="7" s="1"/>
  <c r="AO27" i="7"/>
  <c r="AH27" i="7"/>
  <c r="AG27" i="7"/>
  <c r="AM27" i="7" s="1"/>
  <c r="AF27" i="7"/>
  <c r="AN27" i="7" s="1"/>
  <c r="AE27" i="7"/>
  <c r="AL27" i="7" s="1"/>
  <c r="AN26" i="7"/>
  <c r="AM26" i="7"/>
  <c r="AL26" i="7"/>
  <c r="AH26" i="7"/>
  <c r="AO26" i="7" s="1"/>
  <c r="AG26" i="7"/>
  <c r="AF26" i="7"/>
  <c r="AE26" i="7"/>
  <c r="O43" i="7"/>
  <c r="M42" i="7"/>
  <c r="T42" i="7" s="1"/>
  <c r="L42" i="7"/>
  <c r="R42" i="7" s="1"/>
  <c r="K42" i="7"/>
  <c r="S42" i="7" s="1"/>
  <c r="J42" i="7"/>
  <c r="Q42" i="7" s="1"/>
  <c r="Q41" i="7"/>
  <c r="M41" i="7"/>
  <c r="T41" i="7" s="1"/>
  <c r="L41" i="7"/>
  <c r="R41" i="7" s="1"/>
  <c r="K41" i="7"/>
  <c r="S41" i="7" s="1"/>
  <c r="J41" i="7"/>
  <c r="T40" i="7"/>
  <c r="S40" i="7"/>
  <c r="R40" i="7"/>
  <c r="Q40" i="7"/>
  <c r="M40" i="7"/>
  <c r="L40" i="7"/>
  <c r="K40" i="7"/>
  <c r="J40" i="7"/>
  <c r="M39" i="7"/>
  <c r="L39" i="7"/>
  <c r="R39" i="7" s="1"/>
  <c r="K39" i="7"/>
  <c r="S39" i="7" s="1"/>
  <c r="J39" i="7"/>
  <c r="Q39" i="7" s="1"/>
  <c r="T38" i="7"/>
  <c r="S38" i="7"/>
  <c r="R38" i="7"/>
  <c r="Q38" i="7"/>
  <c r="M38" i="7"/>
  <c r="L38" i="7"/>
  <c r="K38" i="7"/>
  <c r="J38" i="7"/>
  <c r="M37" i="7"/>
  <c r="L37" i="7"/>
  <c r="R37" i="7" s="1"/>
  <c r="K37" i="7"/>
  <c r="S37" i="7" s="1"/>
  <c r="J37" i="7"/>
  <c r="Q37" i="7" s="1"/>
  <c r="M36" i="7"/>
  <c r="L36" i="7"/>
  <c r="K36" i="7"/>
  <c r="J36" i="7"/>
  <c r="T35" i="7"/>
  <c r="Q35" i="7"/>
  <c r="M35" i="7"/>
  <c r="L35" i="7"/>
  <c r="R35" i="7" s="1"/>
  <c r="K35" i="7"/>
  <c r="S35" i="7" s="1"/>
  <c r="J35" i="7"/>
  <c r="M34" i="7"/>
  <c r="T34" i="7" s="1"/>
  <c r="L34" i="7"/>
  <c r="R34" i="7" s="1"/>
  <c r="K34" i="7"/>
  <c r="S34" i="7" s="1"/>
  <c r="J34" i="7"/>
  <c r="Q34" i="7" s="1"/>
  <c r="S33" i="7"/>
  <c r="R33" i="7"/>
  <c r="Q33" i="7"/>
  <c r="M33" i="7"/>
  <c r="T33" i="7" s="1"/>
  <c r="L33" i="7"/>
  <c r="K33" i="7"/>
  <c r="J33" i="7"/>
  <c r="T32" i="7"/>
  <c r="M32" i="7"/>
  <c r="L32" i="7"/>
  <c r="R32" i="7" s="1"/>
  <c r="K32" i="7"/>
  <c r="S32" i="7" s="1"/>
  <c r="J32" i="7"/>
  <c r="Q32" i="7" s="1"/>
  <c r="M31" i="7"/>
  <c r="T31" i="7" s="1"/>
  <c r="L31" i="7"/>
  <c r="R31" i="7" s="1"/>
  <c r="K31" i="7"/>
  <c r="S31" i="7" s="1"/>
  <c r="J31" i="7"/>
  <c r="Q31" i="7" s="1"/>
  <c r="T30" i="7"/>
  <c r="Q30" i="7"/>
  <c r="M30" i="7"/>
  <c r="L30" i="7"/>
  <c r="R30" i="7" s="1"/>
  <c r="K30" i="7"/>
  <c r="S30" i="7" s="1"/>
  <c r="J30" i="7"/>
  <c r="M29" i="7"/>
  <c r="T29" i="7" s="1"/>
  <c r="L29" i="7"/>
  <c r="R29" i="7" s="1"/>
  <c r="K29" i="7"/>
  <c r="S29" i="7" s="1"/>
  <c r="J29" i="7"/>
  <c r="Q29" i="7" s="1"/>
  <c r="S28" i="7"/>
  <c r="R28" i="7"/>
  <c r="Q28" i="7"/>
  <c r="M28" i="7"/>
  <c r="T28" i="7" s="1"/>
  <c r="L28" i="7"/>
  <c r="K28" i="7"/>
  <c r="J28" i="7"/>
  <c r="T27" i="7"/>
  <c r="M27" i="7"/>
  <c r="L27" i="7"/>
  <c r="R27" i="7" s="1"/>
  <c r="K27" i="7"/>
  <c r="S27" i="7" s="1"/>
  <c r="J27" i="7"/>
  <c r="Q27" i="7" s="1"/>
  <c r="M26" i="7"/>
  <c r="T26" i="7" s="1"/>
  <c r="L26" i="7"/>
  <c r="R26" i="7" s="1"/>
  <c r="K26" i="7"/>
  <c r="S26" i="7" s="1"/>
  <c r="J26" i="7"/>
  <c r="Q26" i="7" s="1"/>
  <c r="AJ19" i="7"/>
  <c r="AO18" i="7"/>
  <c r="AN18" i="7"/>
  <c r="AM18" i="7"/>
  <c r="AL18" i="7"/>
  <c r="AH18" i="7"/>
  <c r="AG18" i="7"/>
  <c r="AF18" i="7"/>
  <c r="AE18" i="7"/>
  <c r="AL17" i="7"/>
  <c r="AH17" i="7"/>
  <c r="AO17" i="7" s="1"/>
  <c r="AG17" i="7"/>
  <c r="AM17" i="7" s="1"/>
  <c r="AF17" i="7"/>
  <c r="AN17" i="7" s="1"/>
  <c r="AE17" i="7"/>
  <c r="AH16" i="7"/>
  <c r="AO16" i="7" s="1"/>
  <c r="AG16" i="7"/>
  <c r="AM16" i="7" s="1"/>
  <c r="AF16" i="7"/>
  <c r="AN16" i="7" s="1"/>
  <c r="AE16" i="7"/>
  <c r="AL16" i="7" s="1"/>
  <c r="AH15" i="7"/>
  <c r="AG15" i="7"/>
  <c r="AM15" i="7" s="1"/>
  <c r="AF15" i="7"/>
  <c r="AN15" i="7" s="1"/>
  <c r="AE15" i="7"/>
  <c r="AL15" i="7" s="1"/>
  <c r="AO14" i="7"/>
  <c r="AN14" i="7"/>
  <c r="AM14" i="7"/>
  <c r="AL14" i="7"/>
  <c r="AH14" i="7"/>
  <c r="AG14" i="7"/>
  <c r="AF14" i="7"/>
  <c r="AE14" i="7"/>
  <c r="AN13" i="7"/>
  <c r="AL13" i="7"/>
  <c r="AH13" i="7"/>
  <c r="AG13" i="7"/>
  <c r="AM13" i="7" s="1"/>
  <c r="AF13" i="7"/>
  <c r="AE13" i="7"/>
  <c r="AH12" i="7"/>
  <c r="AO12" i="7" s="1"/>
  <c r="AG12" i="7"/>
  <c r="AM12" i="7" s="1"/>
  <c r="AF12" i="7"/>
  <c r="AN12" i="7" s="1"/>
  <c r="AE12" i="7"/>
  <c r="AL12" i="7" s="1"/>
  <c r="AO11" i="7"/>
  <c r="AH11" i="7"/>
  <c r="AG11" i="7"/>
  <c r="AM11" i="7" s="1"/>
  <c r="AF11" i="7"/>
  <c r="AN11" i="7" s="1"/>
  <c r="AE11" i="7"/>
  <c r="AL11" i="7" s="1"/>
  <c r="AO10" i="7"/>
  <c r="AN10" i="7"/>
  <c r="AH10" i="7"/>
  <c r="AG10" i="7"/>
  <c r="AM10" i="7" s="1"/>
  <c r="AF10" i="7"/>
  <c r="AE10" i="7"/>
  <c r="AL10" i="7" s="1"/>
  <c r="AN9" i="7"/>
  <c r="AM9" i="7"/>
  <c r="AL9" i="7"/>
  <c r="AH9" i="7"/>
  <c r="AO9" i="7" s="1"/>
  <c r="AG9" i="7"/>
  <c r="AF9" i="7"/>
  <c r="AE9" i="7"/>
  <c r="AN8" i="7"/>
  <c r="AL8" i="7"/>
  <c r="AH8" i="7"/>
  <c r="AO8" i="7" s="1"/>
  <c r="AG8" i="7"/>
  <c r="AM8" i="7" s="1"/>
  <c r="AF8" i="7"/>
  <c r="AE8" i="7"/>
  <c r="AH7" i="7"/>
  <c r="AO7" i="7" s="1"/>
  <c r="AG7" i="7"/>
  <c r="AM7" i="7" s="1"/>
  <c r="AF7" i="7"/>
  <c r="AN7" i="7" s="1"/>
  <c r="AE7" i="7"/>
  <c r="AL7" i="7" s="1"/>
  <c r="AH6" i="7"/>
  <c r="AO6" i="7" s="1"/>
  <c r="AG6" i="7"/>
  <c r="AM6" i="7" s="1"/>
  <c r="AF6" i="7"/>
  <c r="AN6" i="7" s="1"/>
  <c r="AE6" i="7"/>
  <c r="AL6" i="7" s="1"/>
  <c r="AO5" i="7"/>
  <c r="AN5" i="7"/>
  <c r="AH5" i="7"/>
  <c r="AG5" i="7"/>
  <c r="AM5" i="7" s="1"/>
  <c r="AF5" i="7"/>
  <c r="AE5" i="7"/>
  <c r="AL5" i="7" s="1"/>
  <c r="AN4" i="7"/>
  <c r="AM4" i="7"/>
  <c r="AL4" i="7"/>
  <c r="AH4" i="7"/>
  <c r="AO4" i="7" s="1"/>
  <c r="AG4" i="7"/>
  <c r="AF4" i="7"/>
  <c r="AE4" i="7"/>
  <c r="AN3" i="7"/>
  <c r="AL3" i="7"/>
  <c r="AH3" i="7"/>
  <c r="AO3" i="7" s="1"/>
  <c r="AG3" i="7"/>
  <c r="AM3" i="7" s="1"/>
  <c r="AF3" i="7"/>
  <c r="AE3" i="7"/>
  <c r="AH2" i="7"/>
  <c r="AO2" i="7" s="1"/>
  <c r="AG2" i="7"/>
  <c r="AM2" i="7" s="1"/>
  <c r="AF2" i="7"/>
  <c r="AN2" i="7" s="1"/>
  <c r="AE2" i="7"/>
  <c r="AL2" i="7" s="1"/>
  <c r="T3" i="7"/>
  <c r="T4" i="7"/>
  <c r="T5" i="7"/>
  <c r="T7" i="7"/>
  <c r="T8" i="7"/>
  <c r="T9" i="7"/>
  <c r="T10" i="7"/>
  <c r="T11" i="7"/>
  <c r="T12" i="7"/>
  <c r="T14" i="7"/>
  <c r="T16" i="7"/>
  <c r="T17" i="7"/>
  <c r="T18" i="7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U1" i="11"/>
  <c r="V1" i="11"/>
  <c r="W1" i="11"/>
  <c r="X1" i="11"/>
  <c r="Y1" i="11"/>
  <c r="Z1" i="11"/>
  <c r="AA1" i="11"/>
  <c r="AB1" i="11"/>
  <c r="AC1" i="11"/>
  <c r="AD1" i="11"/>
  <c r="AE1" i="11"/>
  <c r="AF1" i="11" s="1"/>
  <c r="AG1" i="11" s="1"/>
  <c r="AH1" i="11" s="1"/>
  <c r="AI1" i="11" s="1"/>
  <c r="AJ1" i="11" s="1"/>
  <c r="U4" i="11"/>
  <c r="V4" i="11"/>
  <c r="W4" i="11"/>
  <c r="X4" i="1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U5" i="11"/>
  <c r="V5" i="11"/>
  <c r="W5" i="11"/>
  <c r="X5" i="11"/>
  <c r="Y5" i="11"/>
  <c r="Z5" i="11"/>
  <c r="AA5" i="11"/>
  <c r="AB5" i="11"/>
  <c r="AC5" i="11"/>
  <c r="AD5" i="11" s="1"/>
  <c r="AE5" i="11" s="1"/>
  <c r="AF5" i="11" s="1"/>
  <c r="AG5" i="11" s="1"/>
  <c r="AH5" i="11" s="1"/>
  <c r="AI5" i="11" s="1"/>
  <c r="AJ5" i="11" s="1"/>
  <c r="U9" i="11"/>
  <c r="V9" i="11"/>
  <c r="W9" i="11"/>
  <c r="X9" i="11"/>
  <c r="Y9" i="11"/>
  <c r="Z9" i="11"/>
  <c r="AA9" i="11"/>
  <c r="AB9" i="11"/>
  <c r="AC9" i="11" s="1"/>
  <c r="AD9" i="11" s="1"/>
  <c r="AE9" i="11" s="1"/>
  <c r="AF9" i="11" s="1"/>
  <c r="AG9" i="11" s="1"/>
  <c r="AH9" i="11" s="1"/>
  <c r="AI9" i="11" s="1"/>
  <c r="AJ9" i="11" s="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 s="1"/>
  <c r="AH10" i="11" s="1"/>
  <c r="AI10" i="11" s="1"/>
  <c r="AJ10" i="11" s="1"/>
  <c r="S1" i="11"/>
  <c r="T1" i="11"/>
  <c r="S4" i="11"/>
  <c r="S5" i="11"/>
  <c r="T5" i="11" s="1"/>
  <c r="S9" i="11"/>
  <c r="T9" i="11"/>
  <c r="S10" i="11"/>
  <c r="T10" i="11"/>
  <c r="B15" i="11"/>
  <c r="C15" i="11"/>
  <c r="B16" i="11"/>
  <c r="B17" i="11"/>
  <c r="C17" i="11"/>
  <c r="B18" i="11"/>
  <c r="C18" i="11"/>
  <c r="D18" i="11"/>
  <c r="B19" i="11"/>
  <c r="A19" i="11"/>
  <c r="A18" i="11"/>
  <c r="A17" i="11"/>
  <c r="A16" i="11"/>
  <c r="A15" i="11"/>
  <c r="D1" i="11"/>
  <c r="E1" i="11" s="1"/>
  <c r="F1" i="11" s="1"/>
  <c r="G1" i="11" s="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D4" i="1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D7" i="11"/>
  <c r="D9" i="11"/>
  <c r="E9" i="11" s="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D10" i="11"/>
  <c r="E10" i="11"/>
  <c r="F10" i="11"/>
  <c r="G10" i="11"/>
  <c r="H10" i="1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C6" i="11"/>
  <c r="C2" i="11"/>
  <c r="C1" i="11"/>
  <c r="C10" i="11"/>
  <c r="C9" i="11"/>
  <c r="C8" i="11"/>
  <c r="D8" i="11" s="1"/>
  <c r="D19" i="11" s="1"/>
  <c r="C7" i="11"/>
  <c r="C5" i="11"/>
  <c r="C4" i="11"/>
  <c r="C3" i="11"/>
  <c r="D2" i="11" s="1"/>
  <c r="I2" i="2"/>
  <c r="O2" i="10"/>
  <c r="M2" i="10"/>
  <c r="N2" i="10"/>
  <c r="I2" i="10"/>
  <c r="J2" i="10"/>
  <c r="K2" i="10"/>
  <c r="L2" i="10"/>
  <c r="D2" i="10"/>
  <c r="E2" i="10"/>
  <c r="F2" i="10"/>
  <c r="G2" i="10"/>
  <c r="H2" i="10"/>
  <c r="C2" i="10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O1" i="10" s="1"/>
  <c r="D35" i="7"/>
  <c r="D34" i="7"/>
  <c r="D33" i="7"/>
  <c r="D32" i="7"/>
  <c r="D31" i="7"/>
  <c r="D30" i="7"/>
  <c r="D29" i="7"/>
  <c r="D28" i="7"/>
  <c r="D27" i="7"/>
  <c r="D26" i="7"/>
  <c r="Y11" i="7"/>
  <c r="Y10" i="7"/>
  <c r="Y9" i="7"/>
  <c r="Y8" i="7"/>
  <c r="Y7" i="7"/>
  <c r="Y6" i="7"/>
  <c r="Y5" i="7"/>
  <c r="Y4" i="7"/>
  <c r="Y3" i="7"/>
  <c r="Y2" i="7"/>
  <c r="S7" i="7"/>
  <c r="S12" i="7"/>
  <c r="S13" i="7"/>
  <c r="S14" i="7"/>
  <c r="S15" i="7"/>
  <c r="S16" i="7"/>
  <c r="S17" i="7"/>
  <c r="S18" i="7"/>
  <c r="Q10" i="7"/>
  <c r="Q11" i="7"/>
  <c r="O19" i="7"/>
  <c r="H3" i="8"/>
  <c r="I3" i="8"/>
  <c r="J3" i="8"/>
  <c r="K3" i="8"/>
  <c r="L3" i="8"/>
  <c r="H4" i="8"/>
  <c r="I4" i="8"/>
  <c r="J4" i="8"/>
  <c r="K4" i="8"/>
  <c r="L4" i="8"/>
  <c r="H5" i="8"/>
  <c r="I5" i="8"/>
  <c r="J5" i="8"/>
  <c r="K5" i="8"/>
  <c r="L5" i="8"/>
  <c r="H6" i="8"/>
  <c r="I6" i="8"/>
  <c r="J6" i="8"/>
  <c r="K6" i="8"/>
  <c r="L6" i="8"/>
  <c r="H7" i="8"/>
  <c r="I7" i="8"/>
  <c r="J7" i="8"/>
  <c r="K7" i="8"/>
  <c r="L7" i="8"/>
  <c r="H8" i="8"/>
  <c r="I8" i="8"/>
  <c r="J8" i="8"/>
  <c r="K8" i="8"/>
  <c r="L8" i="8"/>
  <c r="H9" i="8"/>
  <c r="I9" i="8"/>
  <c r="J9" i="8"/>
  <c r="K9" i="8"/>
  <c r="L9" i="8"/>
  <c r="H10" i="8"/>
  <c r="I10" i="8"/>
  <c r="J10" i="8"/>
  <c r="K10" i="8"/>
  <c r="T10" i="8" s="1"/>
  <c r="L10" i="8"/>
  <c r="H11" i="8"/>
  <c r="I11" i="8"/>
  <c r="J11" i="8"/>
  <c r="K11" i="8"/>
  <c r="L11" i="8"/>
  <c r="H12" i="8"/>
  <c r="I12" i="8"/>
  <c r="J12" i="8"/>
  <c r="K12" i="8"/>
  <c r="L12" i="8"/>
  <c r="H13" i="8"/>
  <c r="I13" i="8"/>
  <c r="J13" i="8"/>
  <c r="K13" i="8"/>
  <c r="L13" i="8"/>
  <c r="H14" i="8"/>
  <c r="I14" i="8"/>
  <c r="J14" i="8"/>
  <c r="K14" i="8"/>
  <c r="L14" i="8"/>
  <c r="H15" i="8"/>
  <c r="I15" i="8"/>
  <c r="J15" i="8"/>
  <c r="K15" i="8"/>
  <c r="L15" i="8"/>
  <c r="I2" i="8"/>
  <c r="J2" i="8"/>
  <c r="K2" i="8"/>
  <c r="L2" i="8"/>
  <c r="H2" i="8"/>
  <c r="J19" i="9"/>
  <c r="K19" i="9"/>
  <c r="L19" i="9"/>
  <c r="M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M13" i="9"/>
  <c r="L13" i="9"/>
  <c r="K13" i="9"/>
  <c r="J13" i="9"/>
  <c r="M12" i="9"/>
  <c r="L12" i="9"/>
  <c r="K12" i="9"/>
  <c r="J12" i="9"/>
  <c r="M11" i="9"/>
  <c r="L11" i="9"/>
  <c r="K11" i="9"/>
  <c r="J11" i="9"/>
  <c r="D11" i="9"/>
  <c r="M10" i="9"/>
  <c r="L10" i="9"/>
  <c r="K10" i="9"/>
  <c r="J10" i="9"/>
  <c r="D10" i="9"/>
  <c r="M9" i="9"/>
  <c r="L9" i="9"/>
  <c r="K9" i="9"/>
  <c r="J9" i="9"/>
  <c r="D9" i="9"/>
  <c r="M8" i="9"/>
  <c r="L8" i="9"/>
  <c r="K8" i="9"/>
  <c r="J8" i="9"/>
  <c r="D8" i="9"/>
  <c r="M7" i="9"/>
  <c r="L7" i="9"/>
  <c r="K7" i="9"/>
  <c r="J7" i="9"/>
  <c r="D7" i="9"/>
  <c r="M6" i="9"/>
  <c r="L6" i="9"/>
  <c r="K6" i="9"/>
  <c r="J6" i="9"/>
  <c r="D6" i="9"/>
  <c r="M5" i="9"/>
  <c r="L5" i="9"/>
  <c r="K5" i="9"/>
  <c r="J5" i="9"/>
  <c r="D5" i="9"/>
  <c r="M4" i="9"/>
  <c r="L4" i="9"/>
  <c r="K4" i="9"/>
  <c r="J4" i="9"/>
  <c r="D4" i="9"/>
  <c r="M3" i="9"/>
  <c r="L3" i="9"/>
  <c r="K3" i="9"/>
  <c r="J3" i="9"/>
  <c r="D3" i="9"/>
  <c r="M2" i="9"/>
  <c r="L2" i="9"/>
  <c r="K2" i="9"/>
  <c r="J2" i="9"/>
  <c r="D2" i="9"/>
  <c r="Y1" i="6"/>
  <c r="AA13" i="6"/>
  <c r="AA5" i="6"/>
  <c r="AA6" i="6"/>
  <c r="AA7" i="6"/>
  <c r="AA8" i="6"/>
  <c r="AA9" i="6"/>
  <c r="AA10" i="6"/>
  <c r="AA11" i="6"/>
  <c r="AA12" i="6"/>
  <c r="AA14" i="6"/>
  <c r="AA4" i="6"/>
  <c r="N9" i="6"/>
  <c r="N7" i="6"/>
  <c r="N11" i="6"/>
  <c r="M11" i="6"/>
  <c r="M9" i="6"/>
  <c r="M7" i="6"/>
  <c r="N5" i="6"/>
  <c r="M5" i="6"/>
  <c r="J2" i="6"/>
  <c r="S2" i="6" s="1"/>
  <c r="X6" i="6"/>
  <c r="AC6" i="6" s="1"/>
  <c r="X4" i="6"/>
  <c r="AC4" i="6" s="1"/>
  <c r="X8" i="6"/>
  <c r="AC8" i="6" s="1"/>
  <c r="X10" i="6"/>
  <c r="AC10" i="6" s="1"/>
  <c r="W3" i="6"/>
  <c r="W4" i="6"/>
  <c r="AB4" i="6" s="1"/>
  <c r="W5" i="6"/>
  <c r="AB5" i="6" s="1"/>
  <c r="W6" i="6"/>
  <c r="AB6" i="6" s="1"/>
  <c r="W7" i="6"/>
  <c r="AB7" i="6" s="1"/>
  <c r="W8" i="6"/>
  <c r="AB8" i="6" s="1"/>
  <c r="W9" i="6"/>
  <c r="AB9" i="6" s="1"/>
  <c r="W10" i="6"/>
  <c r="AB10" i="6" s="1"/>
  <c r="W11" i="6"/>
  <c r="AB11" i="6" s="1"/>
  <c r="W12" i="6"/>
  <c r="AB12" i="6" s="1"/>
  <c r="W13" i="6"/>
  <c r="AB13" i="6" s="1"/>
  <c r="W14" i="6"/>
  <c r="AB14" i="6" s="1"/>
  <c r="W15" i="6"/>
  <c r="W2" i="6"/>
  <c r="H17" i="8"/>
  <c r="F19" i="8"/>
  <c r="E21" i="6"/>
  <c r="F19" i="6"/>
  <c r="D43" i="6" s="1"/>
  <c r="D2" i="8"/>
  <c r="F4" i="8"/>
  <c r="F2" i="8"/>
  <c r="C22" i="8"/>
  <c r="B22" i="8"/>
  <c r="B21" i="8"/>
  <c r="A19" i="8"/>
  <c r="F20" i="8"/>
  <c r="F22" i="8"/>
  <c r="G22" i="8"/>
  <c r="A24" i="8"/>
  <c r="A25" i="8"/>
  <c r="A26" i="8"/>
  <c r="A27" i="8"/>
  <c r="A28" i="8"/>
  <c r="H24" i="8"/>
  <c r="B17" i="8"/>
  <c r="G17" i="8"/>
  <c r="C36" i="8" s="1"/>
  <c r="F17" i="8"/>
  <c r="A22" i="8" s="1"/>
  <c r="F18" i="8"/>
  <c r="F21" i="8"/>
  <c r="E18" i="8"/>
  <c r="G21" i="8"/>
  <c r="G20" i="8"/>
  <c r="G19" i="8"/>
  <c r="G18" i="8"/>
  <c r="C37" i="8" s="1"/>
  <c r="D22" i="8"/>
  <c r="E22" i="8"/>
  <c r="D3" i="8"/>
  <c r="T3" i="8" s="1"/>
  <c r="E3" i="8"/>
  <c r="F3" i="8"/>
  <c r="D4" i="8"/>
  <c r="E4" i="8"/>
  <c r="D5" i="8"/>
  <c r="E5" i="8"/>
  <c r="F5" i="8"/>
  <c r="D6" i="8"/>
  <c r="E6" i="8"/>
  <c r="F6" i="8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E2" i="8"/>
  <c r="E17" i="8" s="1"/>
  <c r="R56" i="8"/>
  <c r="R53" i="8"/>
  <c r="R50" i="8"/>
  <c r="R43" i="8"/>
  <c r="Z38" i="8"/>
  <c r="R38" i="8"/>
  <c r="Z33" i="8"/>
  <c r="R33" i="8"/>
  <c r="Z28" i="8"/>
  <c r="R28" i="8"/>
  <c r="Z23" i="8"/>
  <c r="R23" i="8"/>
  <c r="L20" i="8"/>
  <c r="L19" i="8"/>
  <c r="E50" i="8"/>
  <c r="C19" i="8"/>
  <c r="B19" i="8"/>
  <c r="C18" i="8"/>
  <c r="B18" i="8"/>
  <c r="N17" i="8"/>
  <c r="C17" i="8"/>
  <c r="A18" i="8"/>
  <c r="T12" i="8"/>
  <c r="T5" i="8"/>
  <c r="T4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Q2" i="7"/>
  <c r="M3" i="7"/>
  <c r="M4" i="7"/>
  <c r="M5" i="7"/>
  <c r="M6" i="7"/>
  <c r="T6" i="7" s="1"/>
  <c r="M7" i="7"/>
  <c r="M8" i="7"/>
  <c r="M9" i="7"/>
  <c r="M10" i="7"/>
  <c r="M11" i="7"/>
  <c r="M12" i="7"/>
  <c r="M13" i="7"/>
  <c r="M14" i="7"/>
  <c r="M15" i="7"/>
  <c r="M16" i="7"/>
  <c r="M17" i="7"/>
  <c r="M18" i="7"/>
  <c r="M2" i="7"/>
  <c r="T2" i="7" s="1"/>
  <c r="L2" i="7"/>
  <c r="R2" i="7" s="1"/>
  <c r="L3" i="7"/>
  <c r="R3" i="7" s="1"/>
  <c r="L4" i="7"/>
  <c r="R4" i="7" s="1"/>
  <c r="L5" i="7"/>
  <c r="R5" i="7" s="1"/>
  <c r="L6" i="7"/>
  <c r="R6" i="7" s="1"/>
  <c r="L7" i="7"/>
  <c r="R7" i="7" s="1"/>
  <c r="L8" i="7"/>
  <c r="R8" i="7" s="1"/>
  <c r="L9" i="7"/>
  <c r="R9" i="7" s="1"/>
  <c r="L10" i="7"/>
  <c r="R10" i="7" s="1"/>
  <c r="L11" i="7"/>
  <c r="R11" i="7" s="1"/>
  <c r="L12" i="7"/>
  <c r="R12" i="7" s="1"/>
  <c r="L13" i="7"/>
  <c r="R13" i="7" s="1"/>
  <c r="L14" i="7"/>
  <c r="R14" i="7" s="1"/>
  <c r="L15" i="7"/>
  <c r="R15" i="7" s="1"/>
  <c r="L16" i="7"/>
  <c r="R16" i="7" s="1"/>
  <c r="L17" i="7"/>
  <c r="R17" i="7" s="1"/>
  <c r="L18" i="7"/>
  <c r="R18" i="7" s="1"/>
  <c r="K2" i="7"/>
  <c r="S2" i="7" s="1"/>
  <c r="K3" i="7"/>
  <c r="S3" i="7" s="1"/>
  <c r="K4" i="7"/>
  <c r="S4" i="7" s="1"/>
  <c r="K5" i="7"/>
  <c r="S5" i="7" s="1"/>
  <c r="K6" i="7"/>
  <c r="S6" i="7" s="1"/>
  <c r="K7" i="7"/>
  <c r="K8" i="7"/>
  <c r="S8" i="7" s="1"/>
  <c r="K9" i="7"/>
  <c r="S9" i="7" s="1"/>
  <c r="K10" i="7"/>
  <c r="S10" i="7" s="1"/>
  <c r="K11" i="7"/>
  <c r="S11" i="7" s="1"/>
  <c r="K12" i="7"/>
  <c r="K13" i="7"/>
  <c r="K14" i="7"/>
  <c r="K15" i="7"/>
  <c r="K16" i="7"/>
  <c r="K17" i="7"/>
  <c r="K18" i="7"/>
  <c r="J18" i="7"/>
  <c r="Q18" i="7" s="1"/>
  <c r="J17" i="7"/>
  <c r="Q17" i="7" s="1"/>
  <c r="J16" i="7"/>
  <c r="Q16" i="7" s="1"/>
  <c r="J15" i="7"/>
  <c r="Q15" i="7" s="1"/>
  <c r="J14" i="7"/>
  <c r="Q14" i="7" s="1"/>
  <c r="J13" i="7"/>
  <c r="Q13" i="7" s="1"/>
  <c r="J12" i="7"/>
  <c r="Q12" i="7" s="1"/>
  <c r="J11" i="7"/>
  <c r="J10" i="7"/>
  <c r="J9" i="7"/>
  <c r="Q9" i="7" s="1"/>
  <c r="D3" i="7"/>
  <c r="D4" i="7"/>
  <c r="D5" i="7"/>
  <c r="D6" i="7"/>
  <c r="D7" i="7"/>
  <c r="D8" i="7"/>
  <c r="D9" i="7"/>
  <c r="D10" i="7"/>
  <c r="D11" i="7"/>
  <c r="J3" i="7"/>
  <c r="Q3" i="7" s="1"/>
  <c r="J4" i="7"/>
  <c r="Q4" i="7" s="1"/>
  <c r="J5" i="7"/>
  <c r="Q5" i="7" s="1"/>
  <c r="J6" i="7"/>
  <c r="Q6" i="7" s="1"/>
  <c r="J7" i="7"/>
  <c r="Q7" i="7" s="1"/>
  <c r="J8" i="7"/>
  <c r="Q8" i="7" s="1"/>
  <c r="S15" i="6"/>
  <c r="M17" i="6"/>
  <c r="K4" i="6" s="1"/>
  <c r="T4" i="6" s="1"/>
  <c r="J3" i="6"/>
  <c r="S3" i="6" s="1"/>
  <c r="J4" i="6"/>
  <c r="S4" i="6" s="1"/>
  <c r="J5" i="6"/>
  <c r="S5" i="6" s="1"/>
  <c r="J6" i="6"/>
  <c r="S6" i="6" s="1"/>
  <c r="J7" i="6"/>
  <c r="S7" i="6" s="1"/>
  <c r="J8" i="6"/>
  <c r="S8" i="6" s="1"/>
  <c r="J9" i="6"/>
  <c r="S9" i="6" s="1"/>
  <c r="J10" i="6"/>
  <c r="S10" i="6" s="1"/>
  <c r="J11" i="6"/>
  <c r="S11" i="6" s="1"/>
  <c r="J12" i="6"/>
  <c r="S12" i="6" s="1"/>
  <c r="J13" i="6"/>
  <c r="S13" i="6" s="1"/>
  <c r="J14" i="6"/>
  <c r="S14" i="6" s="1"/>
  <c r="J15" i="6"/>
  <c r="J16" i="6"/>
  <c r="Q55" i="6"/>
  <c r="Q52" i="6"/>
  <c r="Q49" i="6"/>
  <c r="K20" i="6"/>
  <c r="K19" i="6"/>
  <c r="Y37" i="6"/>
  <c r="Y32" i="6"/>
  <c r="Y27" i="6"/>
  <c r="Y22" i="6"/>
  <c r="Q42" i="6"/>
  <c r="Q37" i="6"/>
  <c r="Q32" i="6"/>
  <c r="Q27" i="6"/>
  <c r="Q22" i="6"/>
  <c r="E17" i="6"/>
  <c r="A21" i="6" s="1"/>
  <c r="D17" i="6"/>
  <c r="A20" i="6" s="1"/>
  <c r="C17" i="6"/>
  <c r="A19" i="6" s="1"/>
  <c r="B17" i="6"/>
  <c r="F18" i="6"/>
  <c r="D42" i="6" s="1"/>
  <c r="F20" i="6"/>
  <c r="D44" i="6" s="1"/>
  <c r="F21" i="6"/>
  <c r="D45" i="6" s="1"/>
  <c r="F17" i="6"/>
  <c r="D41" i="6" s="1"/>
  <c r="C20" i="6"/>
  <c r="D20" i="6"/>
  <c r="E20" i="6"/>
  <c r="C21" i="6"/>
  <c r="D21" i="6"/>
  <c r="B21" i="6"/>
  <c r="B20" i="6"/>
  <c r="C19" i="6"/>
  <c r="D19" i="6"/>
  <c r="E19" i="6"/>
  <c r="B19" i="6"/>
  <c r="C18" i="6"/>
  <c r="D18" i="6"/>
  <c r="E18" i="6"/>
  <c r="B18" i="6"/>
  <c r="A3" i="6"/>
  <c r="C2" i="4"/>
  <c r="Q1" i="4"/>
  <c r="Q10" i="4" s="1"/>
  <c r="Q2" i="4"/>
  <c r="Q3" i="4"/>
  <c r="Q4" i="4"/>
  <c r="Q5" i="4"/>
  <c r="Q6" i="4"/>
  <c r="Q7" i="4"/>
  <c r="Q8" i="4"/>
  <c r="Q9" i="4"/>
  <c r="P1" i="4"/>
  <c r="P2" i="4" s="1"/>
  <c r="D5" i="4"/>
  <c r="E5" i="4"/>
  <c r="D4" i="4"/>
  <c r="C3" i="4"/>
  <c r="C4" i="4"/>
  <c r="C5" i="4"/>
  <c r="B7" i="4"/>
  <c r="B8" i="4"/>
  <c r="B9" i="4"/>
  <c r="B10" i="4"/>
  <c r="B11" i="4"/>
  <c r="B12" i="4"/>
  <c r="B13" i="4"/>
  <c r="B14" i="4"/>
  <c r="B6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C9" i="4"/>
  <c r="D9" i="4"/>
  <c r="E9" i="4"/>
  <c r="F9" i="4"/>
  <c r="G9" i="4"/>
  <c r="H9" i="4"/>
  <c r="I9" i="4"/>
  <c r="J9" i="4"/>
  <c r="K9" i="4"/>
  <c r="L9" i="4"/>
  <c r="M9" i="4"/>
  <c r="N9" i="4"/>
  <c r="O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J1" i="4"/>
  <c r="J6" i="4" s="1"/>
  <c r="K1" i="4"/>
  <c r="K6" i="4" s="1"/>
  <c r="L1" i="4"/>
  <c r="L6" i="4" s="1"/>
  <c r="M1" i="4"/>
  <c r="M2" i="4" s="1"/>
  <c r="N1" i="4"/>
  <c r="N2" i="4" s="1"/>
  <c r="O1" i="4"/>
  <c r="O5" i="4" s="1"/>
  <c r="J2" i="4"/>
  <c r="K2" i="4"/>
  <c r="L2" i="4"/>
  <c r="J5" i="4"/>
  <c r="K5" i="4"/>
  <c r="L5" i="4"/>
  <c r="M5" i="4"/>
  <c r="N5" i="4"/>
  <c r="J8" i="4"/>
  <c r="K8" i="4"/>
  <c r="L8" i="4"/>
  <c r="M8" i="4"/>
  <c r="N8" i="4"/>
  <c r="O8" i="4"/>
  <c r="C8" i="4"/>
  <c r="D8" i="4"/>
  <c r="E8" i="4"/>
  <c r="F8" i="4"/>
  <c r="G8" i="4"/>
  <c r="H8" i="4"/>
  <c r="I8" i="4"/>
  <c r="D3" i="4"/>
  <c r="E3" i="4"/>
  <c r="F3" i="4"/>
  <c r="G3" i="4"/>
  <c r="H3" i="4"/>
  <c r="I3" i="4"/>
  <c r="E4" i="4"/>
  <c r="F4" i="4"/>
  <c r="G4" i="4"/>
  <c r="H4" i="4"/>
  <c r="I4" i="4"/>
  <c r="F5" i="4"/>
  <c r="G5" i="4"/>
  <c r="H5" i="4"/>
  <c r="I5" i="4"/>
  <c r="C6" i="4"/>
  <c r="D6" i="4"/>
  <c r="E6" i="4"/>
  <c r="F6" i="4"/>
  <c r="G6" i="4"/>
  <c r="H6" i="4"/>
  <c r="I6" i="4"/>
  <c r="C7" i="4"/>
  <c r="D7" i="4"/>
  <c r="E7" i="4"/>
  <c r="F7" i="4"/>
  <c r="G7" i="4"/>
  <c r="H7" i="4"/>
  <c r="I7" i="4"/>
  <c r="D2" i="4"/>
  <c r="E2" i="4"/>
  <c r="F2" i="4"/>
  <c r="G2" i="4"/>
  <c r="H2" i="4"/>
  <c r="I2" i="4"/>
  <c r="D1" i="4"/>
  <c r="E1" i="4" s="1"/>
  <c r="F1" i="4" s="1"/>
  <c r="G1" i="4" s="1"/>
  <c r="H1" i="4" s="1"/>
  <c r="I1" i="4" s="1"/>
  <c r="C1" i="3"/>
  <c r="C2" i="3" s="1"/>
  <c r="B2" i="3"/>
  <c r="B54" i="2"/>
  <c r="D54" i="2" s="1"/>
  <c r="C54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C14" i="2"/>
  <c r="G18" i="2" s="1"/>
  <c r="I18" i="2" s="1"/>
  <c r="A14" i="2"/>
  <c r="D18" i="2" s="1"/>
  <c r="M18" i="2" s="1"/>
  <c r="B14" i="2"/>
  <c r="D19" i="2" s="1"/>
  <c r="Q19" i="2" s="1"/>
  <c r="D3" i="2"/>
  <c r="E3" i="2" s="1"/>
  <c r="F3" i="2" s="1"/>
  <c r="D4" i="2"/>
  <c r="H4" i="2" s="1"/>
  <c r="E4" i="2"/>
  <c r="F4" i="2" s="1"/>
  <c r="D5" i="2"/>
  <c r="E5" i="2" s="1"/>
  <c r="F5" i="2" s="1"/>
  <c r="D6" i="2"/>
  <c r="H6" i="2" s="1"/>
  <c r="E6" i="2"/>
  <c r="F6" i="2" s="1"/>
  <c r="D7" i="2"/>
  <c r="H7" i="2" s="1"/>
  <c r="D8" i="2"/>
  <c r="H8" i="2" s="1"/>
  <c r="D9" i="2"/>
  <c r="H9" i="2" s="1"/>
  <c r="E9" i="2"/>
  <c r="F9" i="2" s="1"/>
  <c r="D10" i="2"/>
  <c r="H10" i="2" s="1"/>
  <c r="D11" i="2"/>
  <c r="H11" i="2" s="1"/>
  <c r="D12" i="2"/>
  <c r="H12" i="2" s="1"/>
  <c r="E12" i="2"/>
  <c r="F12" i="2" s="1"/>
  <c r="D2" i="2"/>
  <c r="H2" i="2" s="1"/>
  <c r="Z10" i="13" l="1"/>
  <c r="AE10" i="13"/>
  <c r="F10" i="13"/>
  <c r="AS10" i="13"/>
  <c r="AY10" i="13"/>
  <c r="Y10" i="13"/>
  <c r="X10" i="13"/>
  <c r="N10" i="13"/>
  <c r="BD10" i="13"/>
  <c r="BB10" i="13"/>
  <c r="AH10" i="13"/>
  <c r="E10" i="13"/>
  <c r="K10" i="13"/>
  <c r="H10" i="13"/>
  <c r="AM10" i="13"/>
  <c r="L10" i="13"/>
  <c r="AL10" i="13"/>
  <c r="AB10" i="13"/>
  <c r="AN10" i="13"/>
  <c r="R10" i="13"/>
  <c r="AV10" i="13"/>
  <c r="AO10" i="13"/>
  <c r="S10" i="13"/>
  <c r="V10" i="13"/>
  <c r="Q10" i="13"/>
  <c r="U10" i="13"/>
  <c r="AJ10" i="13"/>
  <c r="AT10" i="13"/>
  <c r="AU10" i="13"/>
  <c r="AK10" i="13"/>
  <c r="BC10" i="13"/>
  <c r="AP10" i="13"/>
  <c r="P10" i="13"/>
  <c r="AC10" i="13"/>
  <c r="W10" i="13"/>
  <c r="BA10" i="13"/>
  <c r="AR10" i="13"/>
  <c r="AQ10" i="13"/>
  <c r="AG10" i="13"/>
  <c r="M10" i="13"/>
  <c r="J10" i="13"/>
  <c r="T10" i="13"/>
  <c r="O10" i="13"/>
  <c r="AW10" i="13"/>
  <c r="AD10" i="13"/>
  <c r="AZ10" i="13"/>
  <c r="I10" i="13"/>
  <c r="AX10" i="13"/>
  <c r="C7" i="13"/>
  <c r="H7" i="13"/>
  <c r="AB7" i="13"/>
  <c r="AV7" i="13"/>
  <c r="BP7" i="13"/>
  <c r="CJ7" i="13"/>
  <c r="I7" i="13"/>
  <c r="AC7" i="13"/>
  <c r="AW7" i="13"/>
  <c r="BQ7" i="13"/>
  <c r="CK7" i="13"/>
  <c r="J7" i="13"/>
  <c r="AD7" i="13"/>
  <c r="AX7" i="13"/>
  <c r="BR7" i="13"/>
  <c r="CL7" i="13"/>
  <c r="K7" i="13"/>
  <c r="AE7" i="13"/>
  <c r="AY7" i="13"/>
  <c r="BS7" i="13"/>
  <c r="CM7" i="13"/>
  <c r="L7" i="13"/>
  <c r="AF7" i="13"/>
  <c r="AZ7" i="13"/>
  <c r="BT7" i="13"/>
  <c r="CN7" i="13"/>
  <c r="N7" i="13"/>
  <c r="AH7" i="13"/>
  <c r="BB7" i="13"/>
  <c r="BV7" i="13"/>
  <c r="CP7" i="13"/>
  <c r="O7" i="13"/>
  <c r="AI7" i="13"/>
  <c r="BC7" i="13"/>
  <c r="BW7" i="13"/>
  <c r="CQ7" i="13"/>
  <c r="R7" i="13"/>
  <c r="AL7" i="13"/>
  <c r="BF7" i="13"/>
  <c r="BZ7" i="13"/>
  <c r="CT7" i="13"/>
  <c r="T7" i="13"/>
  <c r="AN7" i="13"/>
  <c r="BH7" i="13"/>
  <c r="CB7" i="13"/>
  <c r="CV7" i="13"/>
  <c r="BJ7" i="13"/>
  <c r="BK7" i="13"/>
  <c r="X7" i="13"/>
  <c r="BL7" i="13"/>
  <c r="S7" i="13"/>
  <c r="AM7" i="13"/>
  <c r="BG7" i="13"/>
  <c r="CA7" i="13"/>
  <c r="CU7" i="13"/>
  <c r="U7" i="13"/>
  <c r="AO7" i="13"/>
  <c r="BI7" i="13"/>
  <c r="CC7" i="13"/>
  <c r="CW7" i="13"/>
  <c r="V7" i="13"/>
  <c r="AP7" i="13"/>
  <c r="CD7" i="13"/>
  <c r="W7" i="13"/>
  <c r="AQ7" i="13"/>
  <c r="CE7" i="13"/>
  <c r="D7" i="13"/>
  <c r="AR7" i="13"/>
  <c r="CF7" i="13"/>
  <c r="M7" i="13"/>
  <c r="BY7" i="13"/>
  <c r="P7" i="13"/>
  <c r="CG7" i="13"/>
  <c r="Q7" i="13"/>
  <c r="CH7" i="13"/>
  <c r="Y7" i="13"/>
  <c r="CI7" i="13"/>
  <c r="Z7" i="13"/>
  <c r="CO7" i="13"/>
  <c r="AA7" i="13"/>
  <c r="CR7" i="13"/>
  <c r="AG7" i="13"/>
  <c r="CS7" i="13"/>
  <c r="AJ7" i="13"/>
  <c r="AK7" i="13"/>
  <c r="AS7" i="13"/>
  <c r="AT7" i="13"/>
  <c r="AU7" i="13"/>
  <c r="BA7" i="13"/>
  <c r="BD7" i="13"/>
  <c r="BE7" i="13"/>
  <c r="BM7" i="13"/>
  <c r="BN7" i="13"/>
  <c r="E7" i="13"/>
  <c r="BO7" i="13"/>
  <c r="F7" i="13"/>
  <c r="BU7" i="13"/>
  <c r="G7" i="13"/>
  <c r="BX7" i="13"/>
  <c r="B6" i="13"/>
  <c r="B5" i="13"/>
  <c r="C10" i="13"/>
  <c r="C8" i="13"/>
  <c r="F4" i="13"/>
  <c r="B8" i="13"/>
  <c r="D8" i="13"/>
  <c r="B10" i="13"/>
  <c r="E8" i="13"/>
  <c r="F8" i="13"/>
  <c r="G3" i="13"/>
  <c r="F3" i="12"/>
  <c r="E4" i="12"/>
  <c r="M11" i="10"/>
  <c r="M12" i="10" s="1"/>
  <c r="C11" i="10"/>
  <c r="C12" i="10" s="1"/>
  <c r="P12" i="10" s="1"/>
  <c r="P13" i="10" s="1"/>
  <c r="C6" i="10"/>
  <c r="J6" i="10"/>
  <c r="I6" i="10"/>
  <c r="N5" i="10"/>
  <c r="N7" i="10" s="1"/>
  <c r="K6" i="10"/>
  <c r="C5" i="10"/>
  <c r="E6" i="10"/>
  <c r="D6" i="10"/>
  <c r="J8" i="10"/>
  <c r="N8" i="10"/>
  <c r="M8" i="10"/>
  <c r="L8" i="10"/>
  <c r="E5" i="10"/>
  <c r="E7" i="10" s="1"/>
  <c r="K8" i="10"/>
  <c r="D5" i="10"/>
  <c r="I8" i="10"/>
  <c r="H8" i="10"/>
  <c r="O6" i="10"/>
  <c r="G8" i="10"/>
  <c r="N6" i="10"/>
  <c r="F8" i="10"/>
  <c r="M6" i="10"/>
  <c r="L6" i="10"/>
  <c r="AO43" i="7"/>
  <c r="AO46" i="7" s="1"/>
  <c r="AL43" i="7"/>
  <c r="AL46" i="7" s="1"/>
  <c r="AM43" i="7"/>
  <c r="AM46" i="7" s="1"/>
  <c r="AN43" i="7"/>
  <c r="AN46" i="7" s="1"/>
  <c r="Q43" i="7"/>
  <c r="S43" i="7"/>
  <c r="S46" i="7" s="1"/>
  <c r="R43" i="7"/>
  <c r="R46" i="7" s="1"/>
  <c r="T43" i="7"/>
  <c r="T46" i="7" s="1"/>
  <c r="AL19" i="7"/>
  <c r="AN19" i="7"/>
  <c r="AM19" i="7"/>
  <c r="AM22" i="7" s="1"/>
  <c r="AO19" i="7"/>
  <c r="AO22" i="7" s="1"/>
  <c r="C19" i="11"/>
  <c r="C16" i="11"/>
  <c r="T4" i="11"/>
  <c r="D15" i="11"/>
  <c r="E8" i="11"/>
  <c r="E19" i="11" s="1"/>
  <c r="D3" i="11"/>
  <c r="D16" i="11" s="1"/>
  <c r="D6" i="11"/>
  <c r="Q46" i="7"/>
  <c r="R19" i="7"/>
  <c r="R22" i="7" s="1"/>
  <c r="S19" i="7"/>
  <c r="S22" i="7" s="1"/>
  <c r="T19" i="7"/>
  <c r="T22" i="7" s="1"/>
  <c r="Q19" i="7"/>
  <c r="Q22" i="7" s="1"/>
  <c r="AL22" i="7"/>
  <c r="AN22" i="7"/>
  <c r="T14" i="8"/>
  <c r="T13" i="8"/>
  <c r="U9" i="8"/>
  <c r="X3" i="6"/>
  <c r="X9" i="6"/>
  <c r="AC9" i="6" s="1"/>
  <c r="X5" i="6"/>
  <c r="AC5" i="6" s="1"/>
  <c r="K3" i="6"/>
  <c r="T3" i="6" s="1"/>
  <c r="K2" i="6"/>
  <c r="T2" i="6" s="1"/>
  <c r="S55" i="6"/>
  <c r="S52" i="6"/>
  <c r="Z32" i="6"/>
  <c r="K18" i="6" s="1"/>
  <c r="K15" i="6"/>
  <c r="T15" i="6" s="1"/>
  <c r="K14" i="6"/>
  <c r="T14" i="6" s="1"/>
  <c r="K13" i="6"/>
  <c r="T13" i="6" s="1"/>
  <c r="K12" i="6"/>
  <c r="T12" i="6" s="1"/>
  <c r="K11" i="6"/>
  <c r="T11" i="6" s="1"/>
  <c r="K16" i="6"/>
  <c r="K9" i="6"/>
  <c r="T9" i="6" s="1"/>
  <c r="K8" i="6"/>
  <c r="T8" i="6" s="1"/>
  <c r="K10" i="6"/>
  <c r="T10" i="6" s="1"/>
  <c r="K7" i="6"/>
  <c r="T7" i="6" s="1"/>
  <c r="K6" i="6"/>
  <c r="T6" i="6" s="1"/>
  <c r="K5" i="6"/>
  <c r="T5" i="6" s="1"/>
  <c r="X13" i="6"/>
  <c r="AC13" i="6" s="1"/>
  <c r="X2" i="6"/>
  <c r="X15" i="6"/>
  <c r="X14" i="6"/>
  <c r="AC14" i="6" s="1"/>
  <c r="X12" i="6"/>
  <c r="AC12" i="6" s="1"/>
  <c r="X11" i="6"/>
  <c r="AC11" i="6" s="1"/>
  <c r="X7" i="6"/>
  <c r="AC7" i="6" s="1"/>
  <c r="G41" i="6"/>
  <c r="T7" i="8"/>
  <c r="U6" i="8"/>
  <c r="T15" i="8"/>
  <c r="T11" i="8"/>
  <c r="T8" i="8"/>
  <c r="T33" i="8"/>
  <c r="K18" i="8" s="1"/>
  <c r="E19" i="8"/>
  <c r="T56" i="8"/>
  <c r="E52" i="8"/>
  <c r="D46" i="8"/>
  <c r="B34" i="8"/>
  <c r="T6" i="8"/>
  <c r="C21" i="8"/>
  <c r="E21" i="8"/>
  <c r="T9" i="8"/>
  <c r="D17" i="8"/>
  <c r="A20" i="8" s="1"/>
  <c r="A21" i="8"/>
  <c r="T28" i="8"/>
  <c r="K17" i="8" s="1"/>
  <c r="R9" i="8" s="1"/>
  <c r="U11" i="8"/>
  <c r="AA28" i="8"/>
  <c r="L17" i="8" s="1"/>
  <c r="S8" i="8" s="1"/>
  <c r="U3" i="8"/>
  <c r="U10" i="8"/>
  <c r="D18" i="8"/>
  <c r="B32" i="8"/>
  <c r="U12" i="8"/>
  <c r="AA33" i="8"/>
  <c r="L18" i="8" s="1"/>
  <c r="A17" i="8"/>
  <c r="C38" i="8"/>
  <c r="AA38" i="8"/>
  <c r="L21" i="8" s="1"/>
  <c r="T43" i="8"/>
  <c r="K21" i="8" s="1"/>
  <c r="U15" i="8"/>
  <c r="D44" i="8"/>
  <c r="U7" i="8"/>
  <c r="D21" i="8"/>
  <c r="E48" i="8"/>
  <c r="U8" i="8"/>
  <c r="T53" i="8"/>
  <c r="T38" i="8"/>
  <c r="K19" i="8" s="1"/>
  <c r="D19" i="8"/>
  <c r="B20" i="8"/>
  <c r="C20" i="8"/>
  <c r="D20" i="8"/>
  <c r="B33" i="8"/>
  <c r="T2" i="8"/>
  <c r="E20" i="8"/>
  <c r="U2" i="8"/>
  <c r="U13" i="8"/>
  <c r="C40" i="8"/>
  <c r="U4" i="8"/>
  <c r="B30" i="8"/>
  <c r="D42" i="8"/>
  <c r="B31" i="8"/>
  <c r="D43" i="8"/>
  <c r="E49" i="8"/>
  <c r="U14" i="8"/>
  <c r="U5" i="8"/>
  <c r="S18" i="6"/>
  <c r="Z37" i="6"/>
  <c r="K21" i="6" s="1"/>
  <c r="Z27" i="6"/>
  <c r="K17" i="6" s="1"/>
  <c r="C36" i="6"/>
  <c r="S27" i="6"/>
  <c r="J17" i="6" s="1"/>
  <c r="S32" i="6"/>
  <c r="J18" i="6" s="1"/>
  <c r="S37" i="6"/>
  <c r="J19" i="6" s="1"/>
  <c r="S42" i="6"/>
  <c r="J21" i="6" s="1"/>
  <c r="B32" i="6"/>
  <c r="B31" i="6"/>
  <c r="B30" i="6"/>
  <c r="C38" i="6"/>
  <c r="B29" i="6"/>
  <c r="B33" i="6"/>
  <c r="C35" i="6"/>
  <c r="C39" i="6"/>
  <c r="C37" i="6"/>
  <c r="E47" i="6"/>
  <c r="E50" i="6"/>
  <c r="A27" i="6"/>
  <c r="E51" i="6"/>
  <c r="E49" i="6"/>
  <c r="E48" i="6"/>
  <c r="A23" i="6"/>
  <c r="A26" i="6"/>
  <c r="A25" i="6"/>
  <c r="A24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8" i="6"/>
  <c r="Q14" i="4"/>
  <c r="Q13" i="4"/>
  <c r="Q12" i="4"/>
  <c r="Q11" i="4"/>
  <c r="P10" i="4"/>
  <c r="P14" i="4"/>
  <c r="P13" i="4"/>
  <c r="P12" i="4"/>
  <c r="P11" i="4"/>
  <c r="P9" i="4"/>
  <c r="P8" i="4"/>
  <c r="P7" i="4"/>
  <c r="P6" i="4"/>
  <c r="P5" i="4"/>
  <c r="P4" i="4"/>
  <c r="P3" i="4"/>
  <c r="O4" i="4"/>
  <c r="N4" i="4"/>
  <c r="O7" i="4"/>
  <c r="M4" i="4"/>
  <c r="N7" i="4"/>
  <c r="L4" i="4"/>
  <c r="M7" i="4"/>
  <c r="K4" i="4"/>
  <c r="L7" i="4"/>
  <c r="J4" i="4"/>
  <c r="K7" i="4"/>
  <c r="O3" i="4"/>
  <c r="J7" i="4"/>
  <c r="N3" i="4"/>
  <c r="O6" i="4"/>
  <c r="M3" i="4"/>
  <c r="N6" i="4"/>
  <c r="L3" i="4"/>
  <c r="M6" i="4"/>
  <c r="K3" i="4"/>
  <c r="J3" i="4"/>
  <c r="O2" i="4"/>
  <c r="D1" i="3"/>
  <c r="C3" i="3"/>
  <c r="F54" i="2"/>
  <c r="E54" i="2"/>
  <c r="E8" i="2"/>
  <c r="F8" i="2" s="1"/>
  <c r="M19" i="2"/>
  <c r="N18" i="2"/>
  <c r="E10" i="2"/>
  <c r="S18" i="2"/>
  <c r="Q18" i="2"/>
  <c r="E11" i="2"/>
  <c r="E7" i="2"/>
  <c r="D14" i="2"/>
  <c r="E18" i="2"/>
  <c r="F11" i="2"/>
  <c r="F10" i="2"/>
  <c r="F7" i="2"/>
  <c r="E2" i="2"/>
  <c r="H3" i="2"/>
  <c r="H5" i="2"/>
  <c r="G12" i="2"/>
  <c r="G11" i="2"/>
  <c r="G10" i="2"/>
  <c r="G9" i="2"/>
  <c r="G8" i="2"/>
  <c r="G7" i="2"/>
  <c r="G6" i="2"/>
  <c r="G5" i="2"/>
  <c r="G4" i="2"/>
  <c r="G3" i="2"/>
  <c r="G2" i="2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H24" i="1"/>
  <c r="G24" i="1"/>
  <c r="K14" i="1"/>
  <c r="E24" i="1"/>
  <c r="H15" i="1"/>
  <c r="D24" i="1"/>
  <c r="B18" i="1"/>
  <c r="B20" i="1"/>
  <c r="C14" i="1"/>
  <c r="D12" i="1"/>
  <c r="D14" i="1" s="1"/>
  <c r="B14" i="1"/>
  <c r="E12" i="1"/>
  <c r="E14" i="1" s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E2" i="1"/>
  <c r="D2" i="1"/>
  <c r="A13" i="13" l="1"/>
  <c r="C6" i="13"/>
  <c r="F6" i="13"/>
  <c r="Z6" i="13"/>
  <c r="AT6" i="13"/>
  <c r="BN6" i="13"/>
  <c r="CH6" i="13"/>
  <c r="G6" i="13"/>
  <c r="AA6" i="13"/>
  <c r="AU6" i="13"/>
  <c r="BO6" i="13"/>
  <c r="CI6" i="13"/>
  <c r="H6" i="13"/>
  <c r="AB6" i="13"/>
  <c r="AV6" i="13"/>
  <c r="BP6" i="13"/>
  <c r="CJ6" i="13"/>
  <c r="I6" i="13"/>
  <c r="AC6" i="13"/>
  <c r="AW6" i="13"/>
  <c r="BQ6" i="13"/>
  <c r="CK6" i="13"/>
  <c r="J6" i="13"/>
  <c r="AD6" i="13"/>
  <c r="AX6" i="13"/>
  <c r="BR6" i="13"/>
  <c r="CL6" i="13"/>
  <c r="K6" i="13"/>
  <c r="AE6" i="13"/>
  <c r="AY6" i="13"/>
  <c r="BS6" i="13"/>
  <c r="CM6" i="13"/>
  <c r="L6" i="13"/>
  <c r="AF6" i="13"/>
  <c r="AZ6" i="13"/>
  <c r="BT6" i="13"/>
  <c r="CN6" i="13"/>
  <c r="M6" i="13"/>
  <c r="AG6" i="13"/>
  <c r="BA6" i="13"/>
  <c r="BU6" i="13"/>
  <c r="CO6" i="13"/>
  <c r="P6" i="13"/>
  <c r="AJ6" i="13"/>
  <c r="BD6" i="13"/>
  <c r="BX6" i="13"/>
  <c r="CR6" i="13"/>
  <c r="R6" i="13"/>
  <c r="AL6" i="13"/>
  <c r="BF6" i="13"/>
  <c r="BZ6" i="13"/>
  <c r="CT6" i="13"/>
  <c r="CB6" i="13"/>
  <c r="CC6" i="13"/>
  <c r="V6" i="13"/>
  <c r="CD6" i="13"/>
  <c r="Q6" i="13"/>
  <c r="AK6" i="13"/>
  <c r="BE6" i="13"/>
  <c r="BY6" i="13"/>
  <c r="CS6" i="13"/>
  <c r="S6" i="13"/>
  <c r="AM6" i="13"/>
  <c r="BG6" i="13"/>
  <c r="CA6" i="13"/>
  <c r="CU6" i="13"/>
  <c r="T6" i="13"/>
  <c r="AN6" i="13"/>
  <c r="BH6" i="13"/>
  <c r="CV6" i="13"/>
  <c r="U6" i="13"/>
  <c r="AO6" i="13"/>
  <c r="BI6" i="13"/>
  <c r="CW6" i="13"/>
  <c r="AP6" i="13"/>
  <c r="BJ6" i="13"/>
  <c r="AH6" i="13"/>
  <c r="AI6" i="13"/>
  <c r="AQ6" i="13"/>
  <c r="AR6" i="13"/>
  <c r="AS6" i="13"/>
  <c r="BB6" i="13"/>
  <c r="BC6" i="13"/>
  <c r="BK6" i="13"/>
  <c r="BL6" i="13"/>
  <c r="BM6" i="13"/>
  <c r="BV6" i="13"/>
  <c r="BW6" i="13"/>
  <c r="CE6" i="13"/>
  <c r="D6" i="13"/>
  <c r="CF6" i="13"/>
  <c r="E6" i="13"/>
  <c r="CG6" i="13"/>
  <c r="N6" i="13"/>
  <c r="CP6" i="13"/>
  <c r="O6" i="13"/>
  <c r="CQ6" i="13"/>
  <c r="W6" i="13"/>
  <c r="X6" i="13"/>
  <c r="Y6" i="13"/>
  <c r="C5" i="13"/>
  <c r="D5" i="13"/>
  <c r="X5" i="13"/>
  <c r="AR5" i="13"/>
  <c r="BL5" i="13"/>
  <c r="CF5" i="13"/>
  <c r="E5" i="13"/>
  <c r="Y5" i="13"/>
  <c r="AS5" i="13"/>
  <c r="BM5" i="13"/>
  <c r="CG5" i="13"/>
  <c r="F5" i="13"/>
  <c r="Z5" i="13"/>
  <c r="AT5" i="13"/>
  <c r="BN5" i="13"/>
  <c r="CH5" i="13"/>
  <c r="G5" i="13"/>
  <c r="AA5" i="13"/>
  <c r="AU5" i="13"/>
  <c r="BO5" i="13"/>
  <c r="CI5" i="13"/>
  <c r="H5" i="13"/>
  <c r="AB5" i="13"/>
  <c r="AV5" i="13"/>
  <c r="BP5" i="13"/>
  <c r="CJ5" i="13"/>
  <c r="I5" i="13"/>
  <c r="AC5" i="13"/>
  <c r="AW5" i="13"/>
  <c r="BQ5" i="13"/>
  <c r="CK5" i="13"/>
  <c r="J5" i="13"/>
  <c r="AD5" i="13"/>
  <c r="AX5" i="13"/>
  <c r="BR5" i="13"/>
  <c r="CL5" i="13"/>
  <c r="K5" i="13"/>
  <c r="AE5" i="13"/>
  <c r="AY5" i="13"/>
  <c r="BS5" i="13"/>
  <c r="CM5" i="13"/>
  <c r="N5" i="13"/>
  <c r="AH5" i="13"/>
  <c r="BB5" i="13"/>
  <c r="BV5" i="13"/>
  <c r="CP5" i="13"/>
  <c r="P5" i="13"/>
  <c r="AJ5" i="13"/>
  <c r="BD5" i="13"/>
  <c r="BX5" i="13"/>
  <c r="CR5" i="13"/>
  <c r="Q5" i="13"/>
  <c r="AL5" i="13"/>
  <c r="AM5" i="13"/>
  <c r="T5" i="13"/>
  <c r="O5" i="13"/>
  <c r="AI5" i="13"/>
  <c r="BC5" i="13"/>
  <c r="BW5" i="13"/>
  <c r="CQ5" i="13"/>
  <c r="AK5" i="13"/>
  <c r="BE5" i="13"/>
  <c r="BY5" i="13"/>
  <c r="CS5" i="13"/>
  <c r="R5" i="13"/>
  <c r="BF5" i="13"/>
  <c r="BZ5" i="13"/>
  <c r="CT5" i="13"/>
  <c r="S5" i="13"/>
  <c r="BG5" i="13"/>
  <c r="CA5" i="13"/>
  <c r="CU5" i="13"/>
  <c r="AN5" i="13"/>
  <c r="BH5" i="13"/>
  <c r="CB5" i="13"/>
  <c r="CV5" i="13"/>
  <c r="AZ5" i="13"/>
  <c r="BA5" i="13"/>
  <c r="BI5" i="13"/>
  <c r="BJ5" i="13"/>
  <c r="BK5" i="13"/>
  <c r="BT5" i="13"/>
  <c r="BU5" i="13"/>
  <c r="CC5" i="13"/>
  <c r="CD5" i="13"/>
  <c r="CE5" i="13"/>
  <c r="L5" i="13"/>
  <c r="CN5" i="13"/>
  <c r="M5" i="13"/>
  <c r="CO5" i="13"/>
  <c r="U5" i="13"/>
  <c r="CW5" i="13"/>
  <c r="V5" i="13"/>
  <c r="W5" i="13"/>
  <c r="AF5" i="13"/>
  <c r="AG5" i="13"/>
  <c r="AO5" i="13"/>
  <c r="AP5" i="13"/>
  <c r="AQ5" i="13"/>
  <c r="G8" i="13"/>
  <c r="H3" i="13"/>
  <c r="G4" i="13"/>
  <c r="G3" i="12"/>
  <c r="F4" i="12"/>
  <c r="P6" i="10"/>
  <c r="C7" i="10"/>
  <c r="P5" i="10"/>
  <c r="D7" i="10"/>
  <c r="E8" i="10"/>
  <c r="C8" i="10"/>
  <c r="D8" i="10"/>
  <c r="E7" i="11"/>
  <c r="D17" i="11"/>
  <c r="E6" i="11"/>
  <c r="E2" i="11"/>
  <c r="E3" i="11"/>
  <c r="T18" i="6"/>
  <c r="I3" i="6"/>
  <c r="R3" i="6" s="1"/>
  <c r="S10" i="8"/>
  <c r="S3" i="8"/>
  <c r="R4" i="8"/>
  <c r="R2" i="8"/>
  <c r="S9" i="8"/>
  <c r="R5" i="8"/>
  <c r="S7" i="8"/>
  <c r="R13" i="8"/>
  <c r="R11" i="8"/>
  <c r="T18" i="8"/>
  <c r="T19" i="8" s="1"/>
  <c r="S14" i="8"/>
  <c r="S5" i="8"/>
  <c r="S12" i="8"/>
  <c r="S2" i="8"/>
  <c r="R8" i="8"/>
  <c r="S11" i="8"/>
  <c r="R10" i="8"/>
  <c r="R6" i="8"/>
  <c r="S13" i="8"/>
  <c r="R12" i="8"/>
  <c r="R3" i="8"/>
  <c r="S6" i="8"/>
  <c r="R14" i="8"/>
  <c r="R15" i="8"/>
  <c r="S4" i="8"/>
  <c r="S15" i="8"/>
  <c r="R7" i="8"/>
  <c r="D45" i="8"/>
  <c r="E51" i="8"/>
  <c r="H48" i="8"/>
  <c r="C39" i="8"/>
  <c r="H36" i="8" s="1"/>
  <c r="H30" i="8"/>
  <c r="U18" i="8"/>
  <c r="U19" i="8" s="1"/>
  <c r="H42" i="8"/>
  <c r="I7" i="6"/>
  <c r="R7" i="6" s="1"/>
  <c r="I14" i="6"/>
  <c r="R14" i="6" s="1"/>
  <c r="I13" i="6"/>
  <c r="R13" i="6" s="1"/>
  <c r="I5" i="6"/>
  <c r="R5" i="6" s="1"/>
  <c r="I2" i="6"/>
  <c r="R2" i="6" s="1"/>
  <c r="I12" i="6"/>
  <c r="R12" i="6" s="1"/>
  <c r="I16" i="6"/>
  <c r="I10" i="6"/>
  <c r="R10" i="6" s="1"/>
  <c r="I15" i="6"/>
  <c r="R15" i="6" s="1"/>
  <c r="I11" i="6"/>
  <c r="R11" i="6" s="1"/>
  <c r="I6" i="6"/>
  <c r="R6" i="6" s="1"/>
  <c r="I4" i="6"/>
  <c r="R4" i="6" s="1"/>
  <c r="I9" i="6"/>
  <c r="R9" i="6" s="1"/>
  <c r="I8" i="6"/>
  <c r="R8" i="6" s="1"/>
  <c r="H8" i="6"/>
  <c r="Q8" i="6" s="1"/>
  <c r="H2" i="6"/>
  <c r="Q2" i="6" s="1"/>
  <c r="H3" i="6"/>
  <c r="Q3" i="6" s="1"/>
  <c r="H9" i="6"/>
  <c r="Q9" i="6" s="1"/>
  <c r="H6" i="6"/>
  <c r="Q6" i="6" s="1"/>
  <c r="H7" i="6"/>
  <c r="Q7" i="6" s="1"/>
  <c r="H5" i="6"/>
  <c r="Q5" i="6" s="1"/>
  <c r="H10" i="6"/>
  <c r="Q10" i="6" s="1"/>
  <c r="H11" i="6"/>
  <c r="Q11" i="6" s="1"/>
  <c r="H12" i="6"/>
  <c r="Q12" i="6" s="1"/>
  <c r="H13" i="6"/>
  <c r="Q13" i="6" s="1"/>
  <c r="H14" i="6"/>
  <c r="Q14" i="6" s="1"/>
  <c r="H15" i="6"/>
  <c r="Q15" i="6" s="1"/>
  <c r="H16" i="6"/>
  <c r="G29" i="6"/>
  <c r="H4" i="6"/>
  <c r="Q4" i="6" s="1"/>
  <c r="G35" i="6"/>
  <c r="G23" i="6"/>
  <c r="G47" i="6"/>
  <c r="A17" i="6"/>
  <c r="G17" i="6" s="1"/>
  <c r="D2" i="3"/>
  <c r="D3" i="3" s="1"/>
  <c r="D4" i="3" s="1"/>
  <c r="E1" i="3"/>
  <c r="J18" i="2"/>
  <c r="R18" i="2"/>
  <c r="H14" i="2"/>
  <c r="G20" i="2" s="1"/>
  <c r="F2" i="2"/>
  <c r="F14" i="2" s="1"/>
  <c r="F20" i="2" s="1"/>
  <c r="E14" i="2"/>
  <c r="G14" i="2"/>
  <c r="G19" i="2" s="1"/>
  <c r="E19" i="2"/>
  <c r="D20" i="2"/>
  <c r="F18" i="2"/>
  <c r="B17" i="1"/>
  <c r="F12" i="1" s="1"/>
  <c r="G12" i="1" s="1"/>
  <c r="H12" i="1" s="1"/>
  <c r="D46" i="1"/>
  <c r="D45" i="1"/>
  <c r="D44" i="1"/>
  <c r="D35" i="1"/>
  <c r="D34" i="1"/>
  <c r="D33" i="1"/>
  <c r="D32" i="1"/>
  <c r="D25" i="1"/>
  <c r="D31" i="1"/>
  <c r="D50" i="1"/>
  <c r="D30" i="1"/>
  <c r="D49" i="1"/>
  <c r="D29" i="1"/>
  <c r="D48" i="1"/>
  <c r="D28" i="1"/>
  <c r="D47" i="1"/>
  <c r="H8" i="13" l="1"/>
  <c r="H4" i="13"/>
  <c r="I3" i="13"/>
  <c r="G4" i="12"/>
  <c r="H3" i="12"/>
  <c r="P7" i="10"/>
  <c r="P8" i="10"/>
  <c r="E17" i="11"/>
  <c r="F6" i="11"/>
  <c r="E16" i="11"/>
  <c r="F3" i="11"/>
  <c r="E15" i="11"/>
  <c r="F2" i="11"/>
  <c r="F8" i="11"/>
  <c r="F7" i="11"/>
  <c r="E18" i="11"/>
  <c r="Q18" i="6"/>
  <c r="Q19" i="6" s="1"/>
  <c r="S19" i="6"/>
  <c r="R18" i="6"/>
  <c r="R19" i="6" s="1"/>
  <c r="T19" i="6"/>
  <c r="R18" i="8"/>
  <c r="R19" i="8" s="1"/>
  <c r="S18" i="8"/>
  <c r="S19" i="8" s="1"/>
  <c r="I17" i="6"/>
  <c r="I21" i="6"/>
  <c r="I20" i="6"/>
  <c r="I19" i="6"/>
  <c r="I18" i="6"/>
  <c r="E2" i="3"/>
  <c r="E3" i="3" s="1"/>
  <c r="E4" i="3" s="1"/>
  <c r="E5" i="3" s="1"/>
  <c r="F1" i="3"/>
  <c r="K20" i="2"/>
  <c r="O20" i="2"/>
  <c r="Q20" i="2"/>
  <c r="M20" i="2"/>
  <c r="I19" i="2"/>
  <c r="S19" i="2"/>
  <c r="N19" i="2"/>
  <c r="S20" i="2"/>
  <c r="I20" i="2"/>
  <c r="N20" i="2"/>
  <c r="K18" i="2"/>
  <c r="O18" i="2"/>
  <c r="J19" i="2"/>
  <c r="R19" i="2"/>
  <c r="F19" i="2"/>
  <c r="E20" i="2"/>
  <c r="D27" i="1"/>
  <c r="D41" i="1"/>
  <c r="D42" i="1"/>
  <c r="D43" i="1"/>
  <c r="F3" i="1"/>
  <c r="F4" i="1"/>
  <c r="F5" i="1"/>
  <c r="F6" i="1"/>
  <c r="F7" i="1"/>
  <c r="F8" i="1"/>
  <c r="D26" i="1"/>
  <c r="D37" i="1"/>
  <c r="D39" i="1"/>
  <c r="F9" i="1"/>
  <c r="F10" i="1"/>
  <c r="F11" i="1"/>
  <c r="F2" i="1"/>
  <c r="D36" i="1"/>
  <c r="D38" i="1"/>
  <c r="D40" i="1"/>
  <c r="I8" i="13" l="1"/>
  <c r="I4" i="13"/>
  <c r="J3" i="13"/>
  <c r="I3" i="12"/>
  <c r="H4" i="12"/>
  <c r="F18" i="11"/>
  <c r="G7" i="11"/>
  <c r="G8" i="11"/>
  <c r="F19" i="11"/>
  <c r="F15" i="11"/>
  <c r="G2" i="11"/>
  <c r="F16" i="11"/>
  <c r="G3" i="11"/>
  <c r="G6" i="11"/>
  <c r="F17" i="11"/>
  <c r="Q14" i="8"/>
  <c r="Q7" i="8"/>
  <c r="Q2" i="8"/>
  <c r="Q4" i="8"/>
  <c r="Q15" i="8"/>
  <c r="Q6" i="8"/>
  <c r="Q8" i="8"/>
  <c r="Q10" i="8"/>
  <c r="Q12" i="8"/>
  <c r="Q3" i="8"/>
  <c r="Q5" i="8"/>
  <c r="Q9" i="8"/>
  <c r="Q11" i="8"/>
  <c r="Q13" i="8"/>
  <c r="G3" i="6"/>
  <c r="P3" i="6" s="1"/>
  <c r="G6" i="6"/>
  <c r="P6" i="6" s="1"/>
  <c r="G7" i="6"/>
  <c r="P7" i="6" s="1"/>
  <c r="G8" i="6"/>
  <c r="P8" i="6" s="1"/>
  <c r="G9" i="6"/>
  <c r="P9" i="6" s="1"/>
  <c r="G13" i="6"/>
  <c r="P13" i="6" s="1"/>
  <c r="G14" i="6"/>
  <c r="P14" i="6" s="1"/>
  <c r="G15" i="6"/>
  <c r="P15" i="6" s="1"/>
  <c r="G16" i="6"/>
  <c r="G2" i="6"/>
  <c r="P2" i="6" s="1"/>
  <c r="G4" i="6"/>
  <c r="P4" i="6" s="1"/>
  <c r="G5" i="6"/>
  <c r="P5" i="6" s="1"/>
  <c r="G10" i="6"/>
  <c r="P10" i="6" s="1"/>
  <c r="G11" i="6"/>
  <c r="P11" i="6" s="1"/>
  <c r="G12" i="6"/>
  <c r="P12" i="6" s="1"/>
  <c r="F2" i="3"/>
  <c r="F3" i="3" s="1"/>
  <c r="F4" i="3" s="1"/>
  <c r="F5" i="3" s="1"/>
  <c r="G1" i="3"/>
  <c r="J20" i="2"/>
  <c r="R20" i="2"/>
  <c r="K19" i="2"/>
  <c r="O19" i="2"/>
  <c r="S4" i="2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H14" i="1" s="1"/>
  <c r="J8" i="13" l="1"/>
  <c r="K3" i="13"/>
  <c r="J4" i="13"/>
  <c r="J3" i="12"/>
  <c r="I4" i="12"/>
  <c r="G17" i="11"/>
  <c r="H6" i="11"/>
  <c r="G16" i="11"/>
  <c r="H3" i="11"/>
  <c r="H2" i="11"/>
  <c r="G15" i="11"/>
  <c r="G19" i="11"/>
  <c r="H8" i="11"/>
  <c r="H7" i="11"/>
  <c r="G18" i="11"/>
  <c r="P18" i="6"/>
  <c r="P19" i="6" s="1"/>
  <c r="Q18" i="8"/>
  <c r="Q19" i="8" s="1"/>
  <c r="G2" i="3"/>
  <c r="G3" i="3" s="1"/>
  <c r="G4" i="3" s="1"/>
  <c r="G5" i="3" s="1"/>
  <c r="H1" i="3"/>
  <c r="S3" i="2"/>
  <c r="S2" i="2"/>
  <c r="S1" i="2"/>
  <c r="I12" i="1"/>
  <c r="J12" i="1"/>
  <c r="E30" i="1"/>
  <c r="F45" i="1"/>
  <c r="F30" i="1"/>
  <c r="E45" i="1"/>
  <c r="E50" i="1"/>
  <c r="F46" i="1"/>
  <c r="F50" i="1"/>
  <c r="E46" i="1"/>
  <c r="E31" i="1"/>
  <c r="F31" i="1"/>
  <c r="F25" i="1"/>
  <c r="E25" i="1"/>
  <c r="E32" i="1"/>
  <c r="F32" i="1"/>
  <c r="E47" i="1"/>
  <c r="F47" i="1"/>
  <c r="F24" i="1"/>
  <c r="F28" i="1"/>
  <c r="E33" i="1"/>
  <c r="E28" i="1"/>
  <c r="F33" i="1"/>
  <c r="E48" i="1"/>
  <c r="F34" i="1"/>
  <c r="F48" i="1"/>
  <c r="E34" i="1"/>
  <c r="E29" i="1"/>
  <c r="E35" i="1"/>
  <c r="F29" i="1"/>
  <c r="F35" i="1"/>
  <c r="F49" i="1"/>
  <c r="F44" i="1"/>
  <c r="E49" i="1"/>
  <c r="E44" i="1"/>
  <c r="E27" i="1"/>
  <c r="I11" i="1"/>
  <c r="F40" i="1"/>
  <c r="J11" i="1"/>
  <c r="I6" i="1"/>
  <c r="E40" i="1"/>
  <c r="I10" i="1"/>
  <c r="J6" i="1"/>
  <c r="E38" i="1"/>
  <c r="J10" i="1"/>
  <c r="I5" i="1"/>
  <c r="F38" i="1"/>
  <c r="J5" i="1"/>
  <c r="E36" i="1"/>
  <c r="F36" i="1"/>
  <c r="J9" i="1"/>
  <c r="I4" i="1"/>
  <c r="J2" i="1"/>
  <c r="E39" i="1"/>
  <c r="J3" i="1"/>
  <c r="I3" i="1"/>
  <c r="K3" i="1" s="1"/>
  <c r="F26" i="1"/>
  <c r="E43" i="1"/>
  <c r="F42" i="1"/>
  <c r="I9" i="1"/>
  <c r="I2" i="1"/>
  <c r="F37" i="1"/>
  <c r="J8" i="1"/>
  <c r="I7" i="1"/>
  <c r="F27" i="1"/>
  <c r="J4" i="1"/>
  <c r="F39" i="1"/>
  <c r="E37" i="1"/>
  <c r="F43" i="1"/>
  <c r="E26" i="1"/>
  <c r="I8" i="1"/>
  <c r="E42" i="1"/>
  <c r="F41" i="1"/>
  <c r="E41" i="1"/>
  <c r="J7" i="1"/>
  <c r="L3" i="13" l="1"/>
  <c r="K8" i="13"/>
  <c r="K4" i="13"/>
  <c r="J4" i="12"/>
  <c r="K3" i="12"/>
  <c r="H18" i="11"/>
  <c r="I7" i="11"/>
  <c r="I8" i="11"/>
  <c r="H19" i="11"/>
  <c r="H15" i="11"/>
  <c r="I2" i="11"/>
  <c r="H16" i="11"/>
  <c r="I3" i="11"/>
  <c r="I6" i="11"/>
  <c r="H17" i="11"/>
  <c r="H2" i="3"/>
  <c r="H3" i="3" s="1"/>
  <c r="H4" i="3" s="1"/>
  <c r="H5" i="3" s="1"/>
  <c r="I1" i="3"/>
  <c r="B31" i="2"/>
  <c r="B40" i="2"/>
  <c r="I3" i="2"/>
  <c r="J3" i="2" s="1"/>
  <c r="K3" i="2" s="1"/>
  <c r="B27" i="2"/>
  <c r="B39" i="2"/>
  <c r="B28" i="2"/>
  <c r="I5" i="2"/>
  <c r="J5" i="2" s="1"/>
  <c r="K5" i="2" s="1"/>
  <c r="B45" i="2"/>
  <c r="B34" i="2"/>
  <c r="B49" i="2"/>
  <c r="B50" i="2"/>
  <c r="B29" i="2"/>
  <c r="B33" i="2"/>
  <c r="B30" i="2"/>
  <c r="B46" i="2"/>
  <c r="I6" i="2"/>
  <c r="J6" i="2" s="1"/>
  <c r="K6" i="2" s="1"/>
  <c r="B41" i="2"/>
  <c r="B48" i="2"/>
  <c r="B26" i="2"/>
  <c r="B44" i="2"/>
  <c r="I7" i="2"/>
  <c r="J7" i="2" s="1"/>
  <c r="K7" i="2" s="1"/>
  <c r="I11" i="2"/>
  <c r="J11" i="2" s="1"/>
  <c r="K11" i="2" s="1"/>
  <c r="B37" i="2"/>
  <c r="I10" i="2"/>
  <c r="J10" i="2" s="1"/>
  <c r="K10" i="2" s="1"/>
  <c r="B25" i="2"/>
  <c r="I8" i="2"/>
  <c r="J8" i="2" s="1"/>
  <c r="K8" i="2" s="1"/>
  <c r="J2" i="2"/>
  <c r="K2" i="2" s="1"/>
  <c r="B32" i="2"/>
  <c r="B35" i="2"/>
  <c r="B24" i="2"/>
  <c r="B47" i="2"/>
  <c r="I12" i="2"/>
  <c r="J12" i="2" s="1"/>
  <c r="K12" i="2" s="1"/>
  <c r="I9" i="2"/>
  <c r="J9" i="2" s="1"/>
  <c r="K9" i="2" s="1"/>
  <c r="B43" i="2"/>
  <c r="I4" i="2"/>
  <c r="J4" i="2" s="1"/>
  <c r="K4" i="2" s="1"/>
  <c r="B36" i="2"/>
  <c r="B38" i="2"/>
  <c r="B42" i="2"/>
  <c r="K12" i="1"/>
  <c r="K4" i="1"/>
  <c r="K8" i="1"/>
  <c r="K2" i="1"/>
  <c r="K9" i="1"/>
  <c r="K11" i="1"/>
  <c r="K5" i="1"/>
  <c r="K7" i="1"/>
  <c r="K6" i="1"/>
  <c r="K10" i="1"/>
  <c r="M3" i="13" l="1"/>
  <c r="L8" i="13"/>
  <c r="L4" i="13"/>
  <c r="L3" i="12"/>
  <c r="K4" i="12"/>
  <c r="I17" i="11"/>
  <c r="J6" i="11"/>
  <c r="I16" i="11"/>
  <c r="J3" i="11"/>
  <c r="I19" i="11"/>
  <c r="J8" i="11"/>
  <c r="J7" i="11"/>
  <c r="I18" i="11"/>
  <c r="J2" i="11"/>
  <c r="I15" i="11"/>
  <c r="I2" i="3"/>
  <c r="I3" i="3" s="1"/>
  <c r="I4" i="3" s="1"/>
  <c r="I5" i="3" s="1"/>
  <c r="J1" i="3"/>
  <c r="S6" i="2"/>
  <c r="E44" i="2" s="1"/>
  <c r="N3" i="13" l="1"/>
  <c r="M8" i="13"/>
  <c r="M4" i="13"/>
  <c r="M3" i="12"/>
  <c r="L4" i="12"/>
  <c r="J16" i="11"/>
  <c r="K3" i="11"/>
  <c r="J18" i="11"/>
  <c r="K7" i="11"/>
  <c r="J15" i="11"/>
  <c r="K2" i="11"/>
  <c r="K8" i="11"/>
  <c r="J19" i="11"/>
  <c r="K6" i="11"/>
  <c r="J17" i="11"/>
  <c r="J2" i="3"/>
  <c r="J3" i="3" s="1"/>
  <c r="J4" i="3" s="1"/>
  <c r="J5" i="3" s="1"/>
  <c r="K1" i="3"/>
  <c r="K2" i="3" s="1"/>
  <c r="E43" i="2"/>
  <c r="D45" i="2"/>
  <c r="F32" i="2"/>
  <c r="L11" i="2"/>
  <c r="N5" i="2"/>
  <c r="L9" i="2"/>
  <c r="E28" i="2"/>
  <c r="F30" i="2"/>
  <c r="C36" i="2"/>
  <c r="D36" i="2"/>
  <c r="N7" i="2"/>
  <c r="E27" i="2"/>
  <c r="C49" i="2"/>
  <c r="M7" i="2"/>
  <c r="E47" i="2"/>
  <c r="C50" i="2"/>
  <c r="C44" i="2"/>
  <c r="O9" i="2"/>
  <c r="C32" i="2"/>
  <c r="C24" i="2"/>
  <c r="D50" i="2"/>
  <c r="F49" i="2"/>
  <c r="D33" i="2"/>
  <c r="C47" i="2"/>
  <c r="O4" i="2"/>
  <c r="D26" i="2"/>
  <c r="N4" i="2"/>
  <c r="C43" i="2"/>
  <c r="F42" i="2"/>
  <c r="E49" i="2"/>
  <c r="M6" i="2"/>
  <c r="L7" i="2"/>
  <c r="C33" i="2"/>
  <c r="E42" i="2"/>
  <c r="E36" i="2"/>
  <c r="E26" i="2"/>
  <c r="F26" i="2"/>
  <c r="E48" i="2"/>
  <c r="L6" i="2"/>
  <c r="F48" i="2"/>
  <c r="F44" i="2"/>
  <c r="O11" i="2"/>
  <c r="C26" i="2"/>
  <c r="C48" i="2"/>
  <c r="F47" i="2"/>
  <c r="D32" i="2"/>
  <c r="D46" i="2"/>
  <c r="F29" i="2"/>
  <c r="E30" i="2"/>
  <c r="F43" i="2"/>
  <c r="E46" i="2"/>
  <c r="E41" i="2"/>
  <c r="F36" i="2"/>
  <c r="C38" i="2"/>
  <c r="N6" i="2"/>
  <c r="Q6" i="2" s="1"/>
  <c r="N11" i="2"/>
  <c r="O2" i="2"/>
  <c r="D44" i="2"/>
  <c r="L2" i="2"/>
  <c r="C42" i="2"/>
  <c r="F28" i="2"/>
  <c r="F50" i="2"/>
  <c r="M11" i="2"/>
  <c r="F40" i="2"/>
  <c r="N8" i="2"/>
  <c r="F37" i="2"/>
  <c r="F25" i="2"/>
  <c r="O3" i="2"/>
  <c r="C39" i="2"/>
  <c r="D40" i="2"/>
  <c r="C29" i="2"/>
  <c r="C37" i="2"/>
  <c r="M12" i="2"/>
  <c r="C25" i="2"/>
  <c r="D28" i="2"/>
  <c r="M9" i="2"/>
  <c r="P9" i="2" s="1"/>
  <c r="D34" i="2"/>
  <c r="L12" i="2"/>
  <c r="P12" i="2" s="1"/>
  <c r="D24" i="2"/>
  <c r="F24" i="2"/>
  <c r="F35" i="2"/>
  <c r="E34" i="2"/>
  <c r="E40" i="2"/>
  <c r="O5" i="2"/>
  <c r="N9" i="2"/>
  <c r="M8" i="2"/>
  <c r="E39" i="2"/>
  <c r="N3" i="2"/>
  <c r="Q3" i="2" s="1"/>
  <c r="O12" i="2"/>
  <c r="M4" i="2"/>
  <c r="C28" i="2"/>
  <c r="M10" i="2"/>
  <c r="E24" i="2"/>
  <c r="D30" i="2"/>
  <c r="C40" i="2"/>
  <c r="E29" i="2"/>
  <c r="M3" i="2"/>
  <c r="N10" i="2"/>
  <c r="D39" i="2"/>
  <c r="F34" i="2"/>
  <c r="L8" i="2"/>
  <c r="N2" i="2"/>
  <c r="D37" i="2"/>
  <c r="E33" i="2"/>
  <c r="L3" i="2"/>
  <c r="E35" i="2"/>
  <c r="D25" i="2"/>
  <c r="L10" i="2"/>
  <c r="E45" i="2"/>
  <c r="F27" i="2"/>
  <c r="F33" i="2"/>
  <c r="C45" i="2"/>
  <c r="O8" i="2"/>
  <c r="F45" i="2"/>
  <c r="E32" i="2"/>
  <c r="L4" i="2"/>
  <c r="C31" i="2"/>
  <c r="D35" i="2"/>
  <c r="F38" i="2"/>
  <c r="D38" i="2"/>
  <c r="E38" i="2"/>
  <c r="D49" i="2"/>
  <c r="E50" i="2"/>
  <c r="M5" i="2"/>
  <c r="D31" i="2"/>
  <c r="O10" i="2"/>
  <c r="D41" i="2"/>
  <c r="C41" i="2"/>
  <c r="O6" i="2"/>
  <c r="E37" i="2"/>
  <c r="M2" i="2"/>
  <c r="E31" i="2"/>
  <c r="D47" i="2"/>
  <c r="D48" i="2"/>
  <c r="D27" i="2"/>
  <c r="F41" i="2"/>
  <c r="E25" i="2"/>
  <c r="D29" i="2"/>
  <c r="F31" i="2"/>
  <c r="F39" i="2"/>
  <c r="C30" i="2"/>
  <c r="O7" i="2"/>
  <c r="C27" i="2"/>
  <c r="N12" i="2"/>
  <c r="C46" i="2"/>
  <c r="L5" i="2"/>
  <c r="P5" i="2" s="1"/>
  <c r="D42" i="2"/>
  <c r="C34" i="2"/>
  <c r="F46" i="2"/>
  <c r="D43" i="2"/>
  <c r="C35" i="2"/>
  <c r="O3" i="13" l="1"/>
  <c r="N8" i="13"/>
  <c r="N4" i="13"/>
  <c r="N3" i="12"/>
  <c r="M4" i="12"/>
  <c r="K19" i="11"/>
  <c r="L8" i="11"/>
  <c r="K17" i="11"/>
  <c r="L6" i="11"/>
  <c r="L2" i="11"/>
  <c r="K15" i="11"/>
  <c r="L7" i="11"/>
  <c r="K18" i="11"/>
  <c r="K16" i="11"/>
  <c r="L3" i="11"/>
  <c r="K3" i="3"/>
  <c r="K4" i="3" s="1"/>
  <c r="K5" i="3" s="1"/>
  <c r="Q4" i="2"/>
  <c r="Q5" i="2"/>
  <c r="Q9" i="2"/>
  <c r="P11" i="2"/>
  <c r="Q7" i="2"/>
  <c r="Q2" i="2"/>
  <c r="P2" i="2"/>
  <c r="P4" i="2"/>
  <c r="P8" i="2"/>
  <c r="P6" i="2"/>
  <c r="Q10" i="2"/>
  <c r="Q11" i="2"/>
  <c r="P7" i="2"/>
  <c r="P3" i="2"/>
  <c r="Q8" i="2"/>
  <c r="Q12" i="2"/>
  <c r="P10" i="2"/>
  <c r="P3" i="13" l="1"/>
  <c r="O8" i="13"/>
  <c r="O4" i="13"/>
  <c r="N4" i="12"/>
  <c r="O3" i="12"/>
  <c r="M6" i="11"/>
  <c r="L17" i="11"/>
  <c r="L16" i="11"/>
  <c r="M3" i="11"/>
  <c r="L18" i="11"/>
  <c r="M7" i="11"/>
  <c r="L15" i="11"/>
  <c r="M2" i="11"/>
  <c r="M8" i="11"/>
  <c r="L19" i="11"/>
  <c r="Q14" i="2"/>
  <c r="P14" i="2"/>
  <c r="P8" i="13" l="1"/>
  <c r="Q3" i="13"/>
  <c r="P4" i="13"/>
  <c r="P3" i="12"/>
  <c r="O4" i="12"/>
  <c r="M19" i="11"/>
  <c r="N8" i="11"/>
  <c r="N2" i="11"/>
  <c r="M15" i="11"/>
  <c r="N7" i="11"/>
  <c r="M18" i="11"/>
  <c r="M16" i="11"/>
  <c r="N3" i="11"/>
  <c r="M17" i="11"/>
  <c r="N6" i="11"/>
  <c r="Q8" i="13" l="1"/>
  <c r="R3" i="13"/>
  <c r="Q4" i="13"/>
  <c r="Q3" i="12"/>
  <c r="P4" i="12"/>
  <c r="N16" i="11"/>
  <c r="O3" i="11"/>
  <c r="O6" i="11"/>
  <c r="N17" i="11"/>
  <c r="N18" i="11"/>
  <c r="O7" i="11"/>
  <c r="N15" i="11"/>
  <c r="O2" i="11"/>
  <c r="O8" i="11"/>
  <c r="N19" i="11"/>
  <c r="R8" i="13" l="1"/>
  <c r="R4" i="13"/>
  <c r="S3" i="13"/>
  <c r="R3" i="12"/>
  <c r="Q4" i="12"/>
  <c r="O19" i="11"/>
  <c r="P8" i="11"/>
  <c r="P2" i="11"/>
  <c r="O15" i="11"/>
  <c r="P7" i="11"/>
  <c r="O18" i="11"/>
  <c r="O17" i="11"/>
  <c r="P6" i="11"/>
  <c r="O16" i="11"/>
  <c r="P3" i="11"/>
  <c r="S8" i="13" l="1"/>
  <c r="T3" i="13"/>
  <c r="S4" i="13"/>
  <c r="S3" i="12"/>
  <c r="R4" i="12"/>
  <c r="P18" i="11"/>
  <c r="Q7" i="11"/>
  <c r="P15" i="11"/>
  <c r="Q2" i="11"/>
  <c r="Q8" i="11"/>
  <c r="P19" i="11"/>
  <c r="P16" i="11"/>
  <c r="Q3" i="11"/>
  <c r="Q6" i="11"/>
  <c r="P17" i="11"/>
  <c r="T8" i="13" l="1"/>
  <c r="U3" i="13"/>
  <c r="T4" i="13"/>
  <c r="S4" i="12"/>
  <c r="T3" i="12"/>
  <c r="Q17" i="11"/>
  <c r="R6" i="11"/>
  <c r="Q16" i="11"/>
  <c r="R3" i="11"/>
  <c r="Q19" i="11"/>
  <c r="R8" i="11"/>
  <c r="R2" i="11"/>
  <c r="Q15" i="11"/>
  <c r="R7" i="11"/>
  <c r="Q18" i="11"/>
  <c r="U8" i="13" l="1"/>
  <c r="U4" i="13"/>
  <c r="V3" i="13"/>
  <c r="U3" i="12"/>
  <c r="T4" i="12"/>
  <c r="R19" i="11"/>
  <c r="S8" i="11"/>
  <c r="R16" i="11"/>
  <c r="S3" i="11"/>
  <c r="R15" i="11"/>
  <c r="S2" i="11"/>
  <c r="R17" i="11"/>
  <c r="S6" i="11"/>
  <c r="R18" i="11"/>
  <c r="S7" i="11"/>
  <c r="V8" i="13" l="1"/>
  <c r="W3" i="13"/>
  <c r="V4" i="13"/>
  <c r="V3" i="12"/>
  <c r="U4" i="12"/>
  <c r="S15" i="11"/>
  <c r="T2" i="11"/>
  <c r="T7" i="11"/>
  <c r="S18" i="11"/>
  <c r="S17" i="11"/>
  <c r="T6" i="11"/>
  <c r="S16" i="11"/>
  <c r="T3" i="11"/>
  <c r="S19" i="11"/>
  <c r="T8" i="11"/>
  <c r="W8" i="13" l="1"/>
  <c r="W4" i="13"/>
  <c r="X3" i="13"/>
  <c r="W3" i="12"/>
  <c r="V4" i="12"/>
  <c r="T19" i="11"/>
  <c r="U8" i="11"/>
  <c r="T16" i="11"/>
  <c r="U3" i="11"/>
  <c r="T18" i="11"/>
  <c r="U7" i="11"/>
  <c r="T17" i="11"/>
  <c r="U6" i="11"/>
  <c r="T15" i="11"/>
  <c r="U2" i="11"/>
  <c r="X4" i="13" l="1"/>
  <c r="Y3" i="13"/>
  <c r="X8" i="13"/>
  <c r="W4" i="12"/>
  <c r="X3" i="12"/>
  <c r="U15" i="11"/>
  <c r="V2" i="11"/>
  <c r="U17" i="11"/>
  <c r="V6" i="11"/>
  <c r="U18" i="11"/>
  <c r="V7" i="11"/>
  <c r="V3" i="11"/>
  <c r="U16" i="11"/>
  <c r="U19" i="11"/>
  <c r="V8" i="11"/>
  <c r="Y8" i="13" l="1"/>
  <c r="Z3" i="13"/>
  <c r="Y4" i="13"/>
  <c r="Y3" i="12"/>
  <c r="X4" i="12"/>
  <c r="V19" i="11"/>
  <c r="W8" i="11"/>
  <c r="W6" i="11"/>
  <c r="V17" i="11"/>
  <c r="V16" i="11"/>
  <c r="W3" i="11"/>
  <c r="V18" i="11"/>
  <c r="W7" i="11"/>
  <c r="V15" i="11"/>
  <c r="W2" i="11"/>
  <c r="Z8" i="13" l="1"/>
  <c r="AA3" i="13"/>
  <c r="Z4" i="13"/>
  <c r="Y4" i="12"/>
  <c r="Z3" i="12"/>
  <c r="W15" i="11"/>
  <c r="X2" i="11"/>
  <c r="X7" i="11"/>
  <c r="W18" i="11"/>
  <c r="X3" i="11"/>
  <c r="W16" i="11"/>
  <c r="X6" i="11"/>
  <c r="W17" i="11"/>
  <c r="X8" i="11"/>
  <c r="W19" i="11"/>
  <c r="AA8" i="13" l="1"/>
  <c r="AB3" i="13"/>
  <c r="AA4" i="13"/>
  <c r="Z4" i="12"/>
  <c r="AA3" i="12"/>
  <c r="Y8" i="11"/>
  <c r="X19" i="11"/>
  <c r="Y6" i="11"/>
  <c r="X17" i="11"/>
  <c r="Y3" i="11"/>
  <c r="X16" i="11"/>
  <c r="X18" i="11"/>
  <c r="Y7" i="11"/>
  <c r="Y2" i="11"/>
  <c r="X15" i="11"/>
  <c r="AB8" i="13" l="1"/>
  <c r="AC3" i="13"/>
  <c r="AB4" i="13"/>
  <c r="AB3" i="12"/>
  <c r="AA4" i="12"/>
  <c r="Z2" i="11"/>
  <c r="Y15" i="11"/>
  <c r="Z7" i="11"/>
  <c r="Y18" i="11"/>
  <c r="Z3" i="11"/>
  <c r="Y16" i="11"/>
  <c r="Y17" i="11"/>
  <c r="Z6" i="11"/>
  <c r="Z8" i="11"/>
  <c r="Y19" i="11"/>
  <c r="AC8" i="13" l="1"/>
  <c r="AC4" i="13"/>
  <c r="AD3" i="13"/>
  <c r="AC3" i="12"/>
  <c r="AB4" i="12"/>
  <c r="AA8" i="11"/>
  <c r="Z19" i="11"/>
  <c r="Z17" i="11"/>
  <c r="AA6" i="11"/>
  <c r="AA3" i="11"/>
  <c r="Z16" i="11"/>
  <c r="Z18" i="11"/>
  <c r="AA7" i="11"/>
  <c r="AA2" i="11"/>
  <c r="Z15" i="11"/>
  <c r="AD8" i="13" l="1"/>
  <c r="AE3" i="13"/>
  <c r="AD4" i="13"/>
  <c r="AD3" i="12"/>
  <c r="AC4" i="12"/>
  <c r="AA15" i="11"/>
  <c r="AB2" i="11"/>
  <c r="AB7" i="11"/>
  <c r="AA18" i="11"/>
  <c r="AB3" i="11"/>
  <c r="AA16" i="11"/>
  <c r="AB6" i="11"/>
  <c r="AA17" i="11"/>
  <c r="AB8" i="11"/>
  <c r="AA19" i="11"/>
  <c r="AF3" i="13" l="1"/>
  <c r="AE8" i="13"/>
  <c r="AE4" i="13"/>
  <c r="AD4" i="12"/>
  <c r="AE3" i="12"/>
  <c r="AC8" i="11"/>
  <c r="AB19" i="11"/>
  <c r="AB17" i="11"/>
  <c r="AC6" i="11"/>
  <c r="AB16" i="11"/>
  <c r="AC3" i="11"/>
  <c r="AC7" i="11"/>
  <c r="AB18" i="11"/>
  <c r="AB15" i="11"/>
  <c r="AC2" i="11"/>
  <c r="AG3" i="13" l="1"/>
  <c r="AF8" i="13"/>
  <c r="AF4" i="13"/>
  <c r="AE4" i="12"/>
  <c r="AF3" i="12"/>
  <c r="AD2" i="11"/>
  <c r="AC15" i="11"/>
  <c r="AC18" i="11"/>
  <c r="AD7" i="11"/>
  <c r="AD3" i="11"/>
  <c r="AC16" i="11"/>
  <c r="AC17" i="11"/>
  <c r="AD6" i="11"/>
  <c r="AC19" i="11"/>
  <c r="AD8" i="11"/>
  <c r="AH3" i="13" l="1"/>
  <c r="AG8" i="13"/>
  <c r="AG4" i="13"/>
  <c r="AF4" i="12"/>
  <c r="AG3" i="12"/>
  <c r="AE8" i="11"/>
  <c r="AD19" i="11"/>
  <c r="AD17" i="11"/>
  <c r="AE6" i="11"/>
  <c r="AE3" i="11"/>
  <c r="AD16" i="11"/>
  <c r="AD18" i="11"/>
  <c r="AE7" i="11"/>
  <c r="AE2" i="11"/>
  <c r="AD15" i="11"/>
  <c r="AI3" i="13" l="1"/>
  <c r="AH8" i="13"/>
  <c r="AH4" i="13"/>
  <c r="AG4" i="12"/>
  <c r="AH3" i="12"/>
  <c r="AF2" i="11"/>
  <c r="AE15" i="11"/>
  <c r="AF7" i="11"/>
  <c r="AE18" i="11"/>
  <c r="AE16" i="11"/>
  <c r="AF3" i="11"/>
  <c r="AF6" i="11"/>
  <c r="AE17" i="11"/>
  <c r="AE19" i="11"/>
  <c r="AF8" i="11"/>
  <c r="AJ3" i="13" l="1"/>
  <c r="AI8" i="13"/>
  <c r="AI4" i="13"/>
  <c r="AI3" i="12"/>
  <c r="AH4" i="12"/>
  <c r="AF16" i="11"/>
  <c r="AG3" i="11"/>
  <c r="AG8" i="11"/>
  <c r="AF19" i="11"/>
  <c r="AF17" i="11"/>
  <c r="AG6" i="11"/>
  <c r="AF18" i="11"/>
  <c r="AG7" i="11"/>
  <c r="AG2" i="11"/>
  <c r="AF15" i="11"/>
  <c r="AJ8" i="13" l="1"/>
  <c r="AK3" i="13"/>
  <c r="AJ4" i="13"/>
  <c r="AJ3" i="12"/>
  <c r="AI4" i="12"/>
  <c r="AH2" i="11"/>
  <c r="AG15" i="11"/>
  <c r="AG18" i="11"/>
  <c r="AH7" i="11"/>
  <c r="AG17" i="11"/>
  <c r="AH6" i="11"/>
  <c r="AH8" i="11"/>
  <c r="AG19" i="11"/>
  <c r="AG16" i="11"/>
  <c r="AH3" i="11"/>
  <c r="AK8" i="13" l="1"/>
  <c r="AL3" i="13"/>
  <c r="AK4" i="13"/>
  <c r="AK3" i="12"/>
  <c r="AJ4" i="12"/>
  <c r="AH19" i="11"/>
  <c r="AI8" i="11"/>
  <c r="AI3" i="11"/>
  <c r="AH16" i="11"/>
  <c r="AH17" i="11"/>
  <c r="AI6" i="11"/>
  <c r="AH18" i="11"/>
  <c r="AI7" i="11"/>
  <c r="AH15" i="11"/>
  <c r="AI2" i="11"/>
  <c r="AL8" i="13" l="1"/>
  <c r="AL4" i="13"/>
  <c r="AM3" i="13"/>
  <c r="AL3" i="12"/>
  <c r="AK4" i="12"/>
  <c r="AI15" i="11"/>
  <c r="AJ2" i="11"/>
  <c r="AJ15" i="11" s="1"/>
  <c r="AI17" i="11"/>
  <c r="AJ6" i="11"/>
  <c r="AJ17" i="11" s="1"/>
  <c r="AI18" i="11"/>
  <c r="AJ7" i="11"/>
  <c r="AJ18" i="11" s="1"/>
  <c r="AI16" i="11"/>
  <c r="AJ3" i="11"/>
  <c r="AJ16" i="11" s="1"/>
  <c r="AJ8" i="11"/>
  <c r="AJ19" i="11" s="1"/>
  <c r="AI19" i="11"/>
  <c r="AM8" i="13" l="1"/>
  <c r="AN3" i="13"/>
  <c r="AM4" i="13"/>
  <c r="AM3" i="12"/>
  <c r="AL4" i="12"/>
  <c r="AN8" i="13" l="1"/>
  <c r="AO3" i="13"/>
  <c r="AN4" i="13"/>
  <c r="AN3" i="12"/>
  <c r="AM4" i="12"/>
  <c r="AO8" i="13" l="1"/>
  <c r="AO4" i="13"/>
  <c r="AP3" i="13"/>
  <c r="AO3" i="12"/>
  <c r="AN4" i="12"/>
  <c r="AP8" i="13" l="1"/>
  <c r="AP4" i="13"/>
  <c r="AQ3" i="13"/>
  <c r="AP3" i="12"/>
  <c r="AO4" i="12"/>
  <c r="AQ4" i="13" l="1"/>
  <c r="AR3" i="13"/>
  <c r="AQ8" i="13"/>
  <c r="AQ3" i="12"/>
  <c r="AP4" i="12"/>
  <c r="AR8" i="13" l="1"/>
  <c r="AS3" i="13"/>
  <c r="AR4" i="13"/>
  <c r="AR3" i="12"/>
  <c r="AQ4" i="12"/>
  <c r="AS8" i="13" l="1"/>
  <c r="AT3" i="13"/>
  <c r="AS4" i="13"/>
  <c r="AR4" i="12"/>
  <c r="AS3" i="12"/>
  <c r="AT8" i="13" l="1"/>
  <c r="AU3" i="13"/>
  <c r="AT4" i="13"/>
  <c r="AS4" i="12"/>
  <c r="AT3" i="12"/>
  <c r="AU8" i="13" l="1"/>
  <c r="AV3" i="13"/>
  <c r="AU4" i="13"/>
  <c r="AT4" i="12"/>
  <c r="AU3" i="12"/>
  <c r="AV8" i="13" l="1"/>
  <c r="AW3" i="13"/>
  <c r="AV4" i="13"/>
  <c r="AV3" i="12"/>
  <c r="AU4" i="12"/>
  <c r="AW8" i="13" l="1"/>
  <c r="AW4" i="13"/>
  <c r="AX3" i="13"/>
  <c r="AW3" i="12"/>
  <c r="AV4" i="12"/>
  <c r="AX8" i="13" l="1"/>
  <c r="AY3" i="13"/>
  <c r="AX4" i="13"/>
  <c r="AX3" i="12"/>
  <c r="AW4" i="12"/>
  <c r="AZ3" i="13" l="1"/>
  <c r="AY8" i="13"/>
  <c r="AY4" i="13"/>
  <c r="AY3" i="12"/>
  <c r="AX4" i="12"/>
  <c r="BA3" i="13" l="1"/>
  <c r="AZ8" i="13"/>
  <c r="AZ4" i="13"/>
  <c r="AZ3" i="12"/>
  <c r="AY4" i="12"/>
  <c r="BB3" i="13" l="1"/>
  <c r="BA8" i="13"/>
  <c r="BA4" i="13"/>
  <c r="BA3" i="12"/>
  <c r="AZ4" i="12"/>
  <c r="BC3" i="13" l="1"/>
  <c r="BB8" i="13"/>
  <c r="BB4" i="13"/>
  <c r="BB3" i="12"/>
  <c r="BA4" i="12"/>
  <c r="BD3" i="13" l="1"/>
  <c r="BC8" i="13"/>
  <c r="BC4" i="13"/>
  <c r="BC3" i="12"/>
  <c r="BB4" i="12"/>
  <c r="BD8" i="13" l="1"/>
  <c r="BE3" i="13"/>
  <c r="BD4" i="13"/>
  <c r="BD3" i="12"/>
  <c r="BC4" i="12"/>
  <c r="BE8" i="13" l="1"/>
  <c r="BF3" i="13"/>
  <c r="BE4" i="13"/>
  <c r="BE3" i="12"/>
  <c r="BD4" i="12"/>
  <c r="BF4" i="13" l="1"/>
  <c r="BG3" i="13"/>
  <c r="BF3" i="12"/>
  <c r="BE4" i="12"/>
  <c r="BH3" i="13" l="1"/>
  <c r="BG4" i="13"/>
  <c r="BG3" i="12"/>
  <c r="BF4" i="12"/>
  <c r="BI3" i="13" l="1"/>
  <c r="BH4" i="13"/>
  <c r="BG4" i="12"/>
  <c r="BH3" i="12"/>
  <c r="BI4" i="13" l="1"/>
  <c r="BJ3" i="13"/>
  <c r="BI3" i="12"/>
  <c r="BH4" i="12"/>
  <c r="BK3" i="13" l="1"/>
  <c r="BK4" i="13" s="1"/>
  <c r="BJ4" i="13"/>
  <c r="BJ3" i="12"/>
  <c r="BI4" i="12"/>
  <c r="BK3" i="12" l="1"/>
  <c r="BK4" i="12" s="1"/>
  <c r="BJ4" i="12"/>
</calcChain>
</file>

<file path=xl/sharedStrings.xml><?xml version="1.0" encoding="utf-8"?>
<sst xmlns="http://schemas.openxmlformats.org/spreadsheetml/2006/main" count="437" uniqueCount="219">
  <si>
    <t>i</t>
  </si>
  <si>
    <t>xi</t>
  </si>
  <si>
    <t>yi</t>
  </si>
  <si>
    <t>xi*yi</t>
  </si>
  <si>
    <t>xi^2</t>
  </si>
  <si>
    <t>A0</t>
  </si>
  <si>
    <t>A1</t>
  </si>
  <si>
    <t>È</t>
  </si>
  <si>
    <t>F</t>
  </si>
  <si>
    <t>xi^3</t>
  </si>
  <si>
    <t>xi^4</t>
  </si>
  <si>
    <t>xi^2*yi</t>
  </si>
  <si>
    <t>A2</t>
  </si>
  <si>
    <t>E</t>
  </si>
  <si>
    <t>E^2</t>
  </si>
  <si>
    <t>Проверка</t>
  </si>
  <si>
    <t>X1</t>
  </si>
  <si>
    <t>Y1</t>
  </si>
  <si>
    <t>X2</t>
  </si>
  <si>
    <t>X3</t>
  </si>
  <si>
    <t>X4</t>
  </si>
  <si>
    <t>YX1</t>
  </si>
  <si>
    <t>YX2</t>
  </si>
  <si>
    <t>N</t>
  </si>
  <si>
    <t>yT</t>
  </si>
  <si>
    <t>yT-q</t>
  </si>
  <si>
    <t>yT+q</t>
  </si>
  <si>
    <t>yT-2q</t>
  </si>
  <si>
    <t>yT+2q</t>
  </si>
  <si>
    <t>Проверка2</t>
  </si>
  <si>
    <t>delta</t>
  </si>
  <si>
    <t>0,5P^2+1,5P+1</t>
  </si>
  <si>
    <t>К</t>
  </si>
  <si>
    <t>Р</t>
  </si>
  <si>
    <t>В</t>
  </si>
  <si>
    <t>Г</t>
  </si>
  <si>
    <t>Т</t>
  </si>
  <si>
    <t>t</t>
  </si>
  <si>
    <t>t+1</t>
  </si>
  <si>
    <t>t+2</t>
  </si>
  <si>
    <t>t+3</t>
  </si>
  <si>
    <t>t+4</t>
  </si>
  <si>
    <t>t+5</t>
  </si>
  <si>
    <t>t+6</t>
  </si>
  <si>
    <t>t+7</t>
  </si>
  <si>
    <t>1 разность</t>
  </si>
  <si>
    <t>2 разность</t>
  </si>
  <si>
    <t>3 разность</t>
  </si>
  <si>
    <t>x1</t>
  </si>
  <si>
    <t>x2</t>
  </si>
  <si>
    <t>x3</t>
  </si>
  <si>
    <t>x4</t>
  </si>
  <si>
    <t>y</t>
  </si>
  <si>
    <t>А0</t>
  </si>
  <si>
    <t>А1</t>
  </si>
  <si>
    <t>А2</t>
  </si>
  <si>
    <t>А3</t>
  </si>
  <si>
    <t>А4</t>
  </si>
  <si>
    <t>А5</t>
  </si>
  <si>
    <t>yt1</t>
  </si>
  <si>
    <t>станция B</t>
  </si>
  <si>
    <t>станция A</t>
  </si>
  <si>
    <t>I(0)</t>
  </si>
  <si>
    <t>I(1)</t>
  </si>
  <si>
    <t>I(2)</t>
  </si>
  <si>
    <t>I(3)</t>
  </si>
  <si>
    <t>REJ(3)</t>
  </si>
  <si>
    <t>I(4)</t>
  </si>
  <si>
    <t>I(5)</t>
  </si>
  <si>
    <t>RR(0)</t>
  </si>
  <si>
    <t>RR(1)</t>
  </si>
  <si>
    <t>RR(2)</t>
  </si>
  <si>
    <t>RR(3)*</t>
  </si>
  <si>
    <t>RR(3)</t>
  </si>
  <si>
    <t>RR(4)</t>
  </si>
  <si>
    <t>RR(5)</t>
  </si>
  <si>
    <t>Tр(i)</t>
  </si>
  <si>
    <t>Tп(i)</t>
  </si>
  <si>
    <t>R(i)</t>
  </si>
  <si>
    <t>(i</t>
  </si>
  <si>
    <t>,j)</t>
  </si>
  <si>
    <t>t(i,j)</t>
  </si>
  <si>
    <t>Rп(i,j)</t>
  </si>
  <si>
    <t>R1(i,j)</t>
  </si>
  <si>
    <t>Rc(i,j)</t>
  </si>
  <si>
    <t>Rн(i,j)</t>
  </si>
  <si>
    <t>x2*x2</t>
  </si>
  <si>
    <t>x1*x1</t>
  </si>
  <si>
    <t>x1*x2</t>
  </si>
  <si>
    <t>t+8</t>
  </si>
  <si>
    <t>t+9</t>
  </si>
  <si>
    <t>t+10</t>
  </si>
  <si>
    <t>t+11</t>
  </si>
  <si>
    <t>t+12</t>
  </si>
  <si>
    <t>оптика</t>
  </si>
  <si>
    <t>B SABM P</t>
  </si>
  <si>
    <t>B, UA F</t>
  </si>
  <si>
    <t>B, I S=0 R=0</t>
  </si>
  <si>
    <t>B, I S=1 R=0</t>
  </si>
  <si>
    <t>B, I, P S=1 R=0</t>
  </si>
  <si>
    <t>Дз</t>
  </si>
  <si>
    <t>найти минимальную стоимость проекта</t>
  </si>
  <si>
    <t>не меняя время выполнения проекта</t>
  </si>
  <si>
    <t>и не влияя на выполнение других работ</t>
  </si>
  <si>
    <t>Dij</t>
  </si>
  <si>
    <t>C(ij)</t>
  </si>
  <si>
    <t>Z(i,j)</t>
  </si>
  <si>
    <t>deltaC(i,j)</t>
  </si>
  <si>
    <t>С'</t>
  </si>
  <si>
    <t>deltaC</t>
  </si>
  <si>
    <t>С</t>
  </si>
  <si>
    <t>определить минимальную стоимость не изменяя раннее время наступления событий</t>
  </si>
  <si>
    <t>T</t>
  </si>
  <si>
    <t>x</t>
  </si>
  <si>
    <t>A</t>
  </si>
  <si>
    <t>B</t>
  </si>
  <si>
    <t>C</t>
  </si>
  <si>
    <t>D</t>
  </si>
  <si>
    <t>G</t>
  </si>
  <si>
    <t>L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</si>
  <si>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</si>
  <si>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</si>
  <si>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</si>
  <si>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</si>
  <si>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</si>
  <si>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</si>
  <si>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</si>
  <si>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</si>
  <si>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</si>
  <si>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</si>
  <si>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</si>
  <si>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</si>
  <si>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</si>
  <si>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U</t>
  </si>
  <si>
    <t>K14</t>
  </si>
  <si>
    <t>связь А и B</t>
  </si>
  <si>
    <t>связь А и С</t>
  </si>
  <si>
    <t>связь А и D</t>
  </si>
  <si>
    <t>связь А и G</t>
  </si>
  <si>
    <t>связь C и B</t>
  </si>
  <si>
    <t>связь B и E</t>
  </si>
  <si>
    <t>влияние L</t>
  </si>
  <si>
    <t>связь C и E</t>
  </si>
  <si>
    <t>связь E и F</t>
  </si>
  <si>
    <t>связь C и F</t>
  </si>
  <si>
    <t>связь F и D</t>
  </si>
  <si>
    <t>связь C и G</t>
  </si>
  <si>
    <t>влияние U</t>
  </si>
  <si>
    <t>Дельта t</t>
  </si>
  <si>
    <t>y'</t>
  </si>
  <si>
    <t>y''</t>
  </si>
  <si>
    <t>y'^2</t>
  </si>
  <si>
    <t>y''^2</t>
  </si>
  <si>
    <t>y'*y''</t>
  </si>
  <si>
    <t>y*y'</t>
  </si>
  <si>
    <t>y*y''</t>
  </si>
  <si>
    <t>суммы</t>
  </si>
  <si>
    <t>yteor</t>
  </si>
  <si>
    <t>q</t>
  </si>
  <si>
    <t>Гипотеза принимается так как в диапозон попало больше 68% точек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</si>
  <si>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</si>
  <si>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</si>
  <si>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</si>
  <si>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</si>
  <si>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</si>
  <si>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</si>
  <si>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</si>
  <si>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</si>
  <si>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</si>
  <si>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Ст А</t>
  </si>
  <si>
    <t>B, SABM, P</t>
  </si>
  <si>
    <t>B, I S=1 R=1</t>
  </si>
  <si>
    <t>B, I S=2 R=2</t>
  </si>
  <si>
    <t>A, RR F        R=3</t>
  </si>
  <si>
    <t>B, I, P       S = 3         R=3</t>
  </si>
  <si>
    <t>B, I       S=4         R=3</t>
  </si>
  <si>
    <t>B, I, P         S = 5         R=3   (Ошибка)</t>
  </si>
  <si>
    <t>B, I          S=5           R=3  (Ошибка)</t>
  </si>
  <si>
    <t>B, I, Р          S=6           R=3</t>
  </si>
  <si>
    <t>B, I          S=5           R=3</t>
  </si>
  <si>
    <t>B, I          S=7           R=3</t>
  </si>
  <si>
    <t>B, I, Р          S=0           R=3</t>
  </si>
  <si>
    <t>B, I          S=1           R=3</t>
  </si>
  <si>
    <t>B, RR         P                R=3</t>
  </si>
  <si>
    <t>Ст В</t>
  </si>
  <si>
    <t>B, UA, F</t>
  </si>
  <si>
    <t>A, I S=0 R=0</t>
  </si>
  <si>
    <t>A, I S=1 R=1</t>
  </si>
  <si>
    <t>A, I, P S=2 R=2</t>
  </si>
  <si>
    <t xml:space="preserve">B, RR F       R=4 </t>
  </si>
  <si>
    <t>B, REJ F       R=5</t>
  </si>
  <si>
    <t>B, REJ F      R=5</t>
  </si>
  <si>
    <t>B, RR         F              R=5</t>
  </si>
  <si>
    <t>B, RR         F              R=7</t>
  </si>
  <si>
    <t>B, RR         F              R=1</t>
  </si>
  <si>
    <t>B, RR         F              R=2</t>
  </si>
  <si>
    <t>Станция А</t>
  </si>
  <si>
    <t xml:space="preserve">B, I          S=5           R=3  </t>
  </si>
  <si>
    <t>B, I, Р          S=6           R=3 (таймер)</t>
  </si>
  <si>
    <t>Станция В</t>
  </si>
  <si>
    <t>B, RR         F              R=7 (Ошибка)</t>
  </si>
  <si>
    <t>A, RR F        R=2</t>
  </si>
  <si>
    <t>B, I, P       S = 2         R=2</t>
  </si>
  <si>
    <t>B, I, P        S=3         R=2   (Ошибка)</t>
  </si>
  <si>
    <t xml:space="preserve">B, I, P        S=3         R=2 </t>
  </si>
  <si>
    <t>B, I          S=5           R=2</t>
  </si>
  <si>
    <t>B, I, Р          S=6           R=2 (таймер)</t>
  </si>
  <si>
    <t>B, I, Р          S=6           R=2</t>
  </si>
  <si>
    <t>B, I          S=7           R=2</t>
  </si>
  <si>
    <t>B, I, Р          S=0           R=2</t>
  </si>
  <si>
    <t>B, I          S=1           R=2</t>
  </si>
  <si>
    <t>B, RR         P                R=2</t>
  </si>
  <si>
    <t>A, I, P S=1 R=1</t>
  </si>
  <si>
    <t>B, RR F       R=3</t>
  </si>
  <si>
    <t>B, REJ F       R=3</t>
  </si>
  <si>
    <t>монета</t>
  </si>
  <si>
    <t>Np</t>
  </si>
  <si>
    <t>частность</t>
  </si>
  <si>
    <t>A1/$A$18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</si>
</sst>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rgb="FFFF0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1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21" xfId="0" applyBorder="1"/>
    <xf numFmtId="0" fontId="0" fillId="0" borderId="41" xfId="0" applyBorder="1"/>
    <xf numFmtId="0" fontId="0" fillId="0" borderId="42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0" xfId="0" applyFont="1"/>
    <xf numFmtId="2" fontId="0" fillId="0" borderId="0" xfId="0" applyNumberFormat="1" applyAlignment="1">
      <alignment horizontal="left" indent="2"/>
    </xf>
    <xf numFmtId="2" fontId="0" fillId="0" borderId="0" xfId="0" applyNumberFormat="1"/>
    <xf numFmtId="0" fontId="3" fillId="0" borderId="0" xfId="0" applyFont="1"/>
    <xf numFmtId="0" fontId="0" fillId="0" borderId="5" xfId="0" applyBorder="1"/>
    <xf numFmtId="0" fontId="0" fillId="3" borderId="0" xfId="0" applyFill="1"/>
    <xf numFmtId="0" fontId="4" fillId="0" borderId="5" xfId="0" applyFont="1" applyBorder="1"/>
    <xf numFmtId="0" fontId="5" fillId="0" borderId="5" xfId="0" applyFont="1" applyBorder="1"/>
    <xf numFmtId="49" fontId="5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4" borderId="0" xfId="0" applyFill="1"/>
    <xf numFmtId="0" fontId="0" fillId="0" borderId="46" xfId="0" applyBorder="1"/>
    <xf numFmtId="0" fontId="0" fillId="0" borderId="47" xfId="0" applyBorder="1"/>
    <xf numFmtId="0" fontId="0" fillId="0" borderId="20" xfId="0" applyBorder="1"/>
    <xf numFmtId="0" fontId="0" fillId="0" borderId="48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6" fillId="5" borderId="0" xfId="0" applyFont="1" applyFill="1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5" xfId="0" applyFill="1" applyBorder="1"/>
    <xf numFmtId="0" fontId="7" fillId="0" borderId="14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43" xfId="0" applyFont="1" applyBorder="1" applyAlignment="1">
      <alignment textRotation="180" wrapText="1"/>
    </xf>
    <xf numFmtId="0" fontId="7" fillId="0" borderId="13" xfId="0" applyFont="1" applyBorder="1" applyAlignment="1">
      <alignment wrapText="1"/>
    </xf>
    <xf numFmtId="0" fontId="8" fillId="0" borderId="45" xfId="0" applyFont="1" applyBorder="1" applyAlignment="1">
      <alignment textRotation="180" wrapText="1"/>
    </xf>
    <xf numFmtId="0" fontId="7" fillId="0" borderId="6" xfId="0" applyFont="1" applyBorder="1" applyAlignment="1">
      <alignment wrapText="1"/>
    </xf>
    <xf numFmtId="0" fontId="8" fillId="0" borderId="38" xfId="0" applyFont="1" applyBorder="1" applyAlignment="1">
      <alignment wrapText="1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1" xfId="0" applyBorder="1"/>
    <xf numFmtId="0" fontId="0" fillId="0" borderId="27" xfId="0" applyBorder="1"/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'Практика 3'!$P$1:$T$1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'Практика 3'!$P$18:$T$18</c:f>
              <c:numCache>
                <c:formatCode>General</c:formatCode>
                <c:ptCount val="5"/>
                <c:pt idx="0">
                  <c:v>1.4286824718227751</c:v>
                </c:pt>
                <c:pt idx="1">
                  <c:v>1.4543884892086332</c:v>
                </c:pt>
                <c:pt idx="2">
                  <c:v>1.621818181818182</c:v>
                </c:pt>
                <c:pt idx="3">
                  <c:v>2.3235294117647056</c:v>
                </c:pt>
                <c:pt idx="4">
                  <c:v>10.928571428571427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AF-46D3-A7AA-696B44C862B8}"/>
            </c:ext>
          </c:extLst>
        </c:ser>
        <c:ser>
          <c:idx val="2"/>
          <c:order val="2"/>
          <c:tx>
            <c:v>стоимость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'Практика 3'!$V$2:$V$15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'Практика 3'!$W$2:$W$15</c:f>
              <c:numCache>
                <c:formatCode>General</c:formatCode>
                <c:ptCount val="14"/>
                <c:pt idx="0">
                  <c:v>0</c:v>
                </c:pt>
                <c:pt idx="1">
                  <c:v>0.625</c:v>
                </c:pt>
                <c:pt idx="2">
                  <c:v>1.25</c:v>
                </c:pt>
                <c:pt idx="3">
                  <c:v>1.875</c:v>
                </c:pt>
                <c:pt idx="4">
                  <c:v>2.5</c:v>
                </c:pt>
                <c:pt idx="5">
                  <c:v>3.125</c:v>
                </c:pt>
                <c:pt idx="6">
                  <c:v>3.75</c:v>
                </c:pt>
                <c:pt idx="7">
                  <c:v>4.375</c:v>
                </c:pt>
                <c:pt idx="8">
                  <c:v>5</c:v>
                </c:pt>
                <c:pt idx="9">
                  <c:v>5.625</c:v>
                </c:pt>
                <c:pt idx="10">
                  <c:v>6.25</c:v>
                </c:pt>
                <c:pt idx="11">
                  <c:v>6.875</c:v>
                </c:pt>
                <c:pt idx="12">
                  <c:v>7.5</c:v>
                </c:pt>
                <c:pt idx="13">
                  <c:v>8.125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AF-46D3-A7AA-696B44C8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31439"/>
        <c:axId val="1566252079"/>
      </c:scatterChart>
      <c:scatterChart>
        <c:scatterStyle val="lineMarker"/>
        <c:varyColors val="0"/>
        <c:ser>
          <c:idx val="1"/>
          <c:order val="1"/>
          <c:tx>
            <c:v>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'Практика 3'!$P$1:$T$1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'Практика 3'!$P$19:$T$19</c:f>
              <c:numCache>
                <c:formatCode>General</c:formatCode>
                <c:ptCount val="5"/>
                <c:pt idx="0">
                  <c:v>0.37797916236517259</c:v>
                </c:pt>
                <c:pt idx="1">
                  <c:v>0.36361674243989789</c:v>
                </c:pt>
                <c:pt idx="2">
                  <c:v>0.36762958960278913</c:v>
                </c:pt>
                <c:pt idx="3">
                  <c:v>0.42276829549317924</c:v>
                </c:pt>
                <c:pt idx="4">
                  <c:v>0.88352263406092724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AF-46D3-A7AA-696B44C8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53199"/>
        <c:axId val="695158959"/>
      </c:scatterChart>
      <c:valAx>
        <c:axId val="1566231439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52079"/>
        <c:crosses val="autoZero"/>
        <c:crossBetween val="midCat"/>
        <c:majorUnit val="0.5"/>
        <c:minorUnit val="5.000000000000001E-2"/>
      </c:valAx>
      <c:valAx>
        <c:axId val="15662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31439"/>
        <c:crosses val="autoZero"/>
        <c:crossBetween val="midCat"/>
      </c:valAx>
      <c:valAx>
        <c:axId val="6951589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153199"/>
        <c:crosses val="max"/>
        <c:crossBetween val="midCat"/>
      </c:valAx>
      <c:valAx>
        <c:axId val="695153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158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график 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'Практика 3'!$L$4:$L$12</c:f>
              <c:numCache>
                <c:formatCode>General</c:formatCod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</c:numCache>
            </c:numRef>
          </c:xVal>
          <c:yVal>
            <c:numRef>
              <c:f>'Практика 3'!$M$4:$M$12</c:f>
              <c:numCache>
                <c:formatCode>General</c:formatCode>
                <c:ptCount val="9"/>
                <c:pt idx="0">
                  <c:v>10.928571428571427</c:v>
                </c:pt>
                <c:pt idx="1">
                  <c:v>6.6260504201680668</c:v>
                </c:pt>
                <c:pt idx="2">
                  <c:v>2.3235294117647056</c:v>
                </c:pt>
                <c:pt idx="3">
                  <c:v>1.9726737967914438</c:v>
                </c:pt>
                <c:pt idx="4">
                  <c:v>1.621818181818182</c:v>
                </c:pt>
                <c:pt idx="5">
                  <c:v>1.5381033355134077</c:v>
                </c:pt>
                <c:pt idx="6">
                  <c:v>1.4543884892086332</c:v>
                </c:pt>
                <c:pt idx="7">
                  <c:v>1.4415354805157041</c:v>
                </c:pt>
                <c:pt idx="8">
                  <c:v>1.4286824718227751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AF-46D3-A7AA-696B44C8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31439"/>
        <c:axId val="1566252079"/>
      </c:scatterChart>
      <c:scatterChart>
        <c:scatterStyle val="lineMarker"/>
        <c:varyColors val="0"/>
        <c:ser>
          <c:idx val="2"/>
          <c:order val="1"/>
          <c:tx>
            <c:v>стоимость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'Практика 3'!$V$2:$V$15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'Практика 3'!$X$2:$X$15</c:f>
              <c:numCache>
                <c:formatCode>General</c:formatCode>
                <c:ptCount val="14"/>
                <c:pt idx="0">
                  <c:v>0</c:v>
                </c:pt>
                <c:pt idx="1">
                  <c:v>0.625</c:v>
                </c:pt>
                <c:pt idx="2">
                  <c:v>1.25</c:v>
                </c:pt>
                <c:pt idx="3">
                  <c:v>1.875</c:v>
                </c:pt>
                <c:pt idx="4">
                  <c:v>2.5</c:v>
                </c:pt>
                <c:pt idx="5">
                  <c:v>3.125</c:v>
                </c:pt>
                <c:pt idx="6">
                  <c:v>3.75</c:v>
                </c:pt>
                <c:pt idx="7">
                  <c:v>4.375</c:v>
                </c:pt>
                <c:pt idx="8">
                  <c:v>5</c:v>
                </c:pt>
                <c:pt idx="9">
                  <c:v>5.625</c:v>
                </c:pt>
                <c:pt idx="10">
                  <c:v>6.25</c:v>
                </c:pt>
                <c:pt idx="11">
                  <c:v>6.875</c:v>
                </c:pt>
                <c:pt idx="12">
                  <c:v>7.5</c:v>
                </c:pt>
                <c:pt idx="13">
                  <c:v>8.125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AF-46D3-A7AA-696B44C8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53199"/>
        <c:axId val="695158959"/>
      </c:scatterChart>
      <c:valAx>
        <c:axId val="1566231439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52079"/>
        <c:crosses val="autoZero"/>
        <c:crossBetween val="midCat"/>
        <c:majorUnit val="0.5"/>
        <c:minorUnit val="5.000000000000001E-2"/>
      </c:valAx>
      <c:valAx>
        <c:axId val="15662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31439"/>
        <c:crosses val="autoZero"/>
        <c:crossBetween val="midCat"/>
      </c:valAx>
      <c:valAx>
        <c:axId val="69515895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95153199"/>
        <c:crosses val="max"/>
        <c:crossBetween val="midCat"/>
      </c:valAx>
      <c:valAx>
        <c:axId val="695153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158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'Практика 3'!$P$1:$T$1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'Практика 3'!$P$19:$T$19</c:f>
              <c:numCache>
                <c:formatCode>General</c:formatCode>
                <c:ptCount val="5"/>
                <c:pt idx="0">
                  <c:v>0.37797916236517259</c:v>
                </c:pt>
                <c:pt idx="1">
                  <c:v>0.36361674243989789</c:v>
                </c:pt>
                <c:pt idx="2">
                  <c:v>0.36762958960278913</c:v>
                </c:pt>
                <c:pt idx="3">
                  <c:v>0.42276829549317924</c:v>
                </c:pt>
                <c:pt idx="4">
                  <c:v>0.88352263406092724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AF-46D3-A7AA-696B44C8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31439"/>
        <c:axId val="1566252079"/>
      </c:scatterChart>
      <c:scatterChart>
        <c:scatterStyle val="lineMarker"/>
        <c:varyColors val="0"/>
        <c:ser>
          <c:idx val="2"/>
          <c:order val="1"/>
          <c:tx>
            <c:v>стоимость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'Практика 3'!$V$2:$V$15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'Практика 3'!$W$2:$W$15</c:f>
              <c:numCache>
                <c:formatCode>General</c:formatCode>
                <c:ptCount val="14"/>
                <c:pt idx="0">
                  <c:v>0</c:v>
                </c:pt>
                <c:pt idx="1">
                  <c:v>0.625</c:v>
                </c:pt>
                <c:pt idx="2">
                  <c:v>1.25</c:v>
                </c:pt>
                <c:pt idx="3">
                  <c:v>1.875</c:v>
                </c:pt>
                <c:pt idx="4">
                  <c:v>2.5</c:v>
                </c:pt>
                <c:pt idx="5">
                  <c:v>3.125</c:v>
                </c:pt>
                <c:pt idx="6">
                  <c:v>3.75</c:v>
                </c:pt>
                <c:pt idx="7">
                  <c:v>4.375</c:v>
                </c:pt>
                <c:pt idx="8">
                  <c:v>5</c:v>
                </c:pt>
                <c:pt idx="9">
                  <c:v>5.625</c:v>
                </c:pt>
                <c:pt idx="10">
                  <c:v>6.25</c:v>
                </c:pt>
                <c:pt idx="11">
                  <c:v>6.875</c:v>
                </c:pt>
                <c:pt idx="12">
                  <c:v>7.5</c:v>
                </c:pt>
                <c:pt idx="13">
                  <c:v>8.125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AF-46D3-A7AA-696B44C8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205167"/>
        <c:axId val="693203247"/>
      </c:scatterChart>
      <c:valAx>
        <c:axId val="156623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52079"/>
        <c:crosses val="autoZero"/>
        <c:crossBetween val="midCat"/>
        <c:majorUnit val="0.5"/>
        <c:minorUnit val="5.000000000000001E-2"/>
      </c:valAx>
      <c:valAx>
        <c:axId val="15662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31439"/>
        <c:crosses val="autoZero"/>
        <c:crossBetween val="midCat"/>
      </c:valAx>
      <c:valAx>
        <c:axId val="6932032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3205167"/>
        <c:crosses val="max"/>
        <c:crossBetween val="midCat"/>
      </c:valAx>
      <c:valAx>
        <c:axId val="693205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20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Лист3!$A$1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F-47CA-8F21-2840EB6E1D0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Лист3!$A$2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F-47CA-8F21-2840EB6E1D0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Лист3!$A$3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2F-47CA-8F21-2840EB6E1D0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Лист3!$A$4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2F-47CA-8F21-2840EB6E1D0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Лист3!$A$5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2F-47CA-8F21-2840EB6E1D0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Лист3!$A$6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2F-47CA-8F21-2840EB6E1D0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2F-47CA-8F21-2840EB6E1D0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Лист3!$A$8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2F-47CA-8F21-2840EB6E1D0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Лист3!$A$9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F-47CA-8F21-2840EB6E1D0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2F-47CA-8F21-2840EB6E1D0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2F-47CA-8F21-2840EB6E1D0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2F-47CA-8F21-2840EB6E1D0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2F-47CA-8F21-2840EB6E1D0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12F-47CA-8F21-2840EB6E1D0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2F-47CA-8F21-2840EB6E1D0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12F-47CA-8F21-2840EB6E1D0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Лист3!$A$17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2F-47CA-8F21-2840EB6E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798207"/>
        <c:axId val="943798687"/>
      </c:barChart>
      <c:catAx>
        <c:axId val="94379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798687"/>
        <c:crosses val="autoZero"/>
        <c:auto val="1"/>
        <c:lblAlgn val="ctr"/>
        <c:lblOffset val="100"/>
        <c:noMultiLvlLbl val="0"/>
      </c:catAx>
      <c:valAx>
        <c:axId val="9437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79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'Практика 6(12.02.25)'!$A$2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'Практика 6(12.02.25)'!$B$1:$O$1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'Практика 6(12.02.25)'!$B$2:$O$2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F-44D8-98CA-917F8A4A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388512"/>
        <c:axId val="1192372672"/>
      </c:lineChart>
      <c:catAx>
        <c:axId val="119238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72672"/>
        <c:crosses val="autoZero"/>
        <c:auto val="1"/>
        <c:lblAlgn val="ctr"/>
        <c:lblOffset val="100"/>
        <c:noMultiLvlLbl val="0"/>
      </c:catAx>
      <c:valAx>
        <c:axId val="11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8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'Практика 6(12.02.25)'!$A$3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'Практика 6(12.02.25)'!$B$1:$O$1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'Практика 6(12.02.25)'!$B$3:$O$3</c:f>
              <c:numCache>
                <c:formatCode>General</c:formatCode>
                <c:ptCount val="14"/>
                <c:pt idx="0">
                  <c:v>0</c:v>
                </c:pt>
                <c:pt idx="1">
                  <c:v>1.9</c:v>
                </c:pt>
                <c:pt idx="2">
                  <c:v>5.1100000000000003</c:v>
                </c:pt>
                <c:pt idx="3">
                  <c:v>6.81</c:v>
                </c:pt>
                <c:pt idx="4">
                  <c:v>6.49</c:v>
                </c:pt>
                <c:pt idx="5">
                  <c:v>5.28</c:v>
                </c:pt>
                <c:pt idx="6">
                  <c:v>4.41</c:v>
                </c:pt>
                <c:pt idx="7">
                  <c:v>4.34</c:v>
                </c:pt>
                <c:pt idx="8">
                  <c:v>4.76</c:v>
                </c:pt>
                <c:pt idx="9">
                  <c:v>5.16</c:v>
                </c:pt>
                <c:pt idx="10">
                  <c:v>5.27</c:v>
                </c:pt>
                <c:pt idx="11">
                  <c:v>5.14</c:v>
                </c:pt>
                <c:pt idx="12">
                  <c:v>4.9800000000000004</c:v>
                </c:pt>
                <c:pt idx="1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8-408D-9A58-A5A11153807A}"/>
            </c:ext>
          </c:extLst>
        </c:ser>
        <c:ser>
          <c:idx val="1"/>
          <c:order val="1"/>
          <c:tx>
            <c:strRef>
              <c:f>'Практика 6(12.02.25)'!$A$11</c:f>
              <c:strCache>
                <c:ptCount val="1"/>
                <c:pt idx="0">
                  <c:v>yteor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'Практика 6(12.02.25)'!$B$11:$N$11</c:f>
              <c:numCache>
                <c:formatCode>General</c:formatCode>
                <c:ptCount val="13"/>
                <c:pt idx="1">
                  <c:v>2.2185713057888314</c:v>
                </c:pt>
                <c:pt idx="2">
                  <c:v>5.3727194372782598</c:v>
                </c:pt>
                <c:pt idx="3">
                  <c:v>6.8306048918679467</c:v>
                </c:pt>
                <c:pt idx="4">
                  <c:v>6.3262232064802895</c:v>
                </c:pt>
                <c:pt idx="5">
                  <c:v>5.1123391392189514</c:v>
                </c:pt>
                <c:pt idx="6">
                  <c:v>4.3165523712737128</c:v>
                </c:pt>
                <c:pt idx="7">
                  <c:v>4.3300324426360772</c:v>
                </c:pt>
                <c:pt idx="8">
                  <c:v>4.7718931180270507</c:v>
                </c:pt>
                <c:pt idx="9">
                  <c:v>5.1477639962103305</c:v>
                </c:pt>
                <c:pt idx="10">
                  <c:v>5.2273633983809402</c:v>
                </c:pt>
                <c:pt idx="11">
                  <c:v>5.064844770469338</c:v>
                </c:pt>
                <c:pt idx="12">
                  <c:v>4.9310919223682754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5-4572-808E-004A9C14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388512"/>
        <c:axId val="1192372672"/>
      </c:lineChart>
      <c:catAx>
        <c:axId val="1192388512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72672"/>
        <c:crosses val="autoZero"/>
        <c:auto val="1"/>
        <c:lblAlgn val="ctr"/>
        <c:lblOffset val="100"/>
        <c:noMultiLvlLbl val="0"/>
      </c:catAx>
      <c:valAx>
        <c:axId val="11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8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'Практика 6(12.02.25)'!$A$3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'Практика 6(12.02.25)'!$B$1:$O$1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'Практика 6(12.02.25)'!$B$3:$O$3</c:f>
              <c:numCache>
                <c:formatCode>General</c:formatCode>
                <c:ptCount val="14"/>
                <c:pt idx="0">
                  <c:v>0</c:v>
                </c:pt>
                <c:pt idx="1">
                  <c:v>1.9</c:v>
                </c:pt>
                <c:pt idx="2">
                  <c:v>5.1100000000000003</c:v>
                </c:pt>
                <c:pt idx="3">
                  <c:v>6.81</c:v>
                </c:pt>
                <c:pt idx="4">
                  <c:v>6.49</c:v>
                </c:pt>
                <c:pt idx="5">
                  <c:v>5.28</c:v>
                </c:pt>
                <c:pt idx="6">
                  <c:v>4.41</c:v>
                </c:pt>
                <c:pt idx="7">
                  <c:v>4.34</c:v>
                </c:pt>
                <c:pt idx="8">
                  <c:v>4.76</c:v>
                </c:pt>
                <c:pt idx="9">
                  <c:v>5.16</c:v>
                </c:pt>
                <c:pt idx="10">
                  <c:v>5.27</c:v>
                </c:pt>
                <c:pt idx="11">
                  <c:v>5.14</c:v>
                </c:pt>
                <c:pt idx="12">
                  <c:v>4.9800000000000004</c:v>
                </c:pt>
                <c:pt idx="13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8-408D-9A58-A5A11153807A}"/>
            </c:ext>
          </c:extLst>
        </c:ser>
        <c:ser>
          <c:idx val="1"/>
          <c:order val="1"/>
          <c:tx>
            <c:strRef>
              <c:f>'Практика 6(12.02.25)'!$A$11</c:f>
              <c:strCache>
                <c:ptCount val="1"/>
                <c:pt idx="0">
                  <c:v>yteor</c:v>
                </c:pt>
              </c:strCache>
            </c:strRef>
          </c:tx>
          <c:spPr>
            <a:ln w="476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'Практика 6(12.02.25)'!$B$1:$N$1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'Практика 6(12.02.25)'!$B$11:$N$11</c:f>
              <c:numCache>
                <c:formatCode>General</c:formatCode>
                <c:ptCount val="13"/>
                <c:pt idx="1">
                  <c:v>2.2185713057888314</c:v>
                </c:pt>
                <c:pt idx="2">
                  <c:v>5.3727194372782598</c:v>
                </c:pt>
                <c:pt idx="3">
                  <c:v>6.8306048918679467</c:v>
                </c:pt>
                <c:pt idx="4">
                  <c:v>6.3262232064802895</c:v>
                </c:pt>
                <c:pt idx="5">
                  <c:v>5.1123391392189514</c:v>
                </c:pt>
                <c:pt idx="6">
                  <c:v>4.3165523712737128</c:v>
                </c:pt>
                <c:pt idx="7">
                  <c:v>4.3300324426360772</c:v>
                </c:pt>
                <c:pt idx="8">
                  <c:v>4.7718931180270507</c:v>
                </c:pt>
                <c:pt idx="9">
                  <c:v>5.1477639962103305</c:v>
                </c:pt>
                <c:pt idx="10">
                  <c:v>5.2273633983809402</c:v>
                </c:pt>
                <c:pt idx="11">
                  <c:v>5.064844770469338</c:v>
                </c:pt>
                <c:pt idx="12">
                  <c:v>4.9310919223682754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5-4572-808E-004A9C14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388512"/>
        <c:axId val="1192372672"/>
      </c:scatterChart>
      <c:valAx>
        <c:axId val="1192388512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72672"/>
        <c:crosses val="autoZero"/>
        <c:crossBetween val="midCat"/>
      </c:valAx>
      <c:valAx>
        <c:axId val="11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8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'Практика 6(12.02.25)'!$B$1:$N$1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'Практика 6(12.02.25)'!$B$3:$N$3</c:f>
              <c:numCache>
                <c:formatCode>General</c:formatCode>
                <c:ptCount val="13"/>
                <c:pt idx="0">
                  <c:v>0</c:v>
                </c:pt>
                <c:pt idx="1">
                  <c:v>1.9</c:v>
                </c:pt>
                <c:pt idx="2">
                  <c:v>5.1100000000000003</c:v>
                </c:pt>
                <c:pt idx="3">
                  <c:v>6.81</c:v>
                </c:pt>
                <c:pt idx="4">
                  <c:v>6.49</c:v>
                </c:pt>
                <c:pt idx="5">
                  <c:v>5.28</c:v>
                </c:pt>
                <c:pt idx="6">
                  <c:v>4.41</c:v>
                </c:pt>
                <c:pt idx="7">
                  <c:v>4.34</c:v>
                </c:pt>
                <c:pt idx="8">
                  <c:v>4.76</c:v>
                </c:pt>
                <c:pt idx="9">
                  <c:v>5.16</c:v>
                </c:pt>
                <c:pt idx="10">
                  <c:v>5.27</c:v>
                </c:pt>
                <c:pt idx="11">
                  <c:v>5.14</c:v>
                </c:pt>
                <c:pt idx="12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B1-4C26-AE17-8E5E3C861370}"/>
            </c:ext>
          </c:extLst>
        </c:ser>
        <c:ser>
          <c:idx val="1"/>
          <c:order val="1"/>
          <c:tx>
            <c:v>теор</c:v>
          </c:tx>
          <c:spPr>
            <a:ln w="19050" cap="rnd" cmpd="sng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'Практика 6(12.02.25)'!$B$1:$N$1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'Практика 6(12.02.25)'!$B$11:$N$11</c:f>
              <c:numCache>
                <c:formatCode>General</c:formatCode>
                <c:ptCount val="13"/>
                <c:pt idx="1">
                  <c:v>2.2185713057888314</c:v>
                </c:pt>
                <c:pt idx="2">
                  <c:v>5.3727194372782598</c:v>
                </c:pt>
                <c:pt idx="3">
                  <c:v>6.8306048918679467</c:v>
                </c:pt>
                <c:pt idx="4">
                  <c:v>6.3262232064802895</c:v>
                </c:pt>
                <c:pt idx="5">
                  <c:v>5.1123391392189514</c:v>
                </c:pt>
                <c:pt idx="6">
                  <c:v>4.3165523712737128</c:v>
                </c:pt>
                <c:pt idx="7">
                  <c:v>4.3300324426360772</c:v>
                </c:pt>
                <c:pt idx="8">
                  <c:v>4.7718931180270507</c:v>
                </c:pt>
                <c:pt idx="9">
                  <c:v>5.1477639962103305</c:v>
                </c:pt>
                <c:pt idx="10">
                  <c:v>5.2273633983809402</c:v>
                </c:pt>
                <c:pt idx="11">
                  <c:v>5.064844770469338</c:v>
                </c:pt>
                <c:pt idx="12">
                  <c:v>4.9310919223682754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B1-4C26-AE17-8E5E3C861370}"/>
            </c:ext>
          </c:extLst>
        </c:ser>
        <c:ser>
          <c:idx val="2"/>
          <c:order val="2"/>
          <c:tx>
            <c:v>yT+q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'Практика 6(12.02.25)'!$B$1:$N$1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'Практика 6(12.02.25)'!$B$14:$N$14</c:f>
              <c:numCache>
                <c:formatCode>General</c:formatCode>
                <c:ptCount val="13"/>
                <c:pt idx="0">
                  <c:v>0.15647616733506464</c:v>
                </c:pt>
                <c:pt idx="1">
                  <c:v>2.375047473123896</c:v>
                </c:pt>
                <c:pt idx="2">
                  <c:v>5.5291956046133244</c:v>
                </c:pt>
                <c:pt idx="3">
                  <c:v>6.9870810592030113</c:v>
                </c:pt>
                <c:pt idx="4">
                  <c:v>6.482699373815354</c:v>
                </c:pt>
                <c:pt idx="5">
                  <c:v>5.268815306554016</c:v>
                </c:pt>
                <c:pt idx="6">
                  <c:v>4.4730285386087774</c:v>
                </c:pt>
                <c:pt idx="7">
                  <c:v>4.4865086099711418</c:v>
                </c:pt>
                <c:pt idx="8">
                  <c:v>4.9283692853621153</c:v>
                </c:pt>
                <c:pt idx="9">
                  <c:v>5.3042401635453951</c:v>
                </c:pt>
                <c:pt idx="10">
                  <c:v>5.3838395657160047</c:v>
                </c:pt>
                <c:pt idx="11">
                  <c:v>5.2213209378044025</c:v>
                </c:pt>
                <c:pt idx="12">
                  <c:v>5.08756808970334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B1-4C26-AE17-8E5E3C861370}"/>
            </c:ext>
          </c:extLst>
        </c:ser>
        <c:ser>
          <c:idx val="3"/>
          <c:order val="3"/>
          <c:tx>
            <c:v>yT-q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'Практика 6(12.02.25)'!$B$1:$N$1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'Практика 6(12.02.25)'!$B$13:$N$13</c:f>
              <c:numCache>
                <c:formatCode>General</c:formatCode>
                <c:ptCount val="13"/>
                <c:pt idx="0">
                  <c:v>-0.15647616733506464</c:v>
                </c:pt>
                <c:pt idx="1">
                  <c:v>2.0620951384537669</c:v>
                </c:pt>
                <c:pt idx="2">
                  <c:v>5.2162432699431953</c:v>
                </c:pt>
                <c:pt idx="3">
                  <c:v>6.6741287245328822</c:v>
                </c:pt>
                <c:pt idx="4">
                  <c:v>6.1697470391452249</c:v>
                </c:pt>
                <c:pt idx="5">
                  <c:v>4.9558629718838869</c:v>
                </c:pt>
                <c:pt idx="6">
                  <c:v>4.1600762039386483</c:v>
                </c:pt>
                <c:pt idx="7">
                  <c:v>4.1735562753010127</c:v>
                </c:pt>
                <c:pt idx="8">
                  <c:v>4.6154169506919862</c:v>
                </c:pt>
                <c:pt idx="9">
                  <c:v>4.991287828875266</c:v>
                </c:pt>
                <c:pt idx="10">
                  <c:v>5.0708872310458757</c:v>
                </c:pt>
                <c:pt idx="11">
                  <c:v>4.9083686031342735</c:v>
                </c:pt>
                <c:pt idx="12">
                  <c:v>4.7746157550332109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B1-4C26-AE17-8E5E3C861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31439"/>
        <c:axId val="1566252079"/>
      </c:scatterChart>
      <c:valAx>
        <c:axId val="1566231439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66252079"/>
        <c:crosses val="autoZero"/>
        <c:crossBetween val="midCat"/>
        <c:majorUnit val="0.5"/>
      </c:valAx>
      <c:valAx>
        <c:axId val="1566252079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6623143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ysClr val="windowText" lastClr="000000"/>
          </a:solidFill>
          <a:latin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случайные!$B$4:$BK$4</c:f>
              <c:numCache>
                <c:formatCode>General</c:formatCode>
                <c:ptCount val="62"/>
                <c:pt idx="0">
                  <c:v>1</c:v>
                </c:pt>
                <c:pt idx="1">
                  <c:v>0.5</c:v>
                </c:pt>
                <c:pt idx="2">
                  <c:v>0.66666666666666663</c:v>
                </c:pt>
                <c:pt idx="3">
                  <c:v>0.5</c:v>
                </c:pt>
                <c:pt idx="4">
                  <c:v>0.4</c:v>
                </c:pt>
                <c:pt idx="5">
                  <c:v>0.5</c:v>
                </c:pt>
                <c:pt idx="6">
                  <c:v>0.5714285714285714</c:v>
                </c:pt>
                <c:pt idx="7">
                  <c:v>0.5</c:v>
                </c:pt>
                <c:pt idx="8">
                  <c:v>0.55555555555555558</c:v>
                </c:pt>
                <c:pt idx="9">
                  <c:v>0.5</c:v>
                </c:pt>
                <c:pt idx="10">
                  <c:v>0.45454545454545453</c:v>
                </c:pt>
                <c:pt idx="11">
                  <c:v>0.41666666666666669</c:v>
                </c:pt>
                <c:pt idx="12">
                  <c:v>0.46153846153846156</c:v>
                </c:pt>
                <c:pt idx="13">
                  <c:v>0.5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0.47058823529411764</c:v>
                </c:pt>
                <c:pt idx="17">
                  <c:v>0.5</c:v>
                </c:pt>
                <c:pt idx="18">
                  <c:v>0.52631578947368418</c:v>
                </c:pt>
                <c:pt idx="19">
                  <c:v>0.5</c:v>
                </c:pt>
                <c:pt idx="20">
                  <c:v>0.52380952380952384</c:v>
                </c:pt>
                <c:pt idx="21">
                  <c:v>0.5</c:v>
                </c:pt>
                <c:pt idx="22">
                  <c:v>0.52173913043478259</c:v>
                </c:pt>
                <c:pt idx="23">
                  <c:v>0.54166666666666663</c:v>
                </c:pt>
                <c:pt idx="24">
                  <c:v>0.52</c:v>
                </c:pt>
                <c:pt idx="25">
                  <c:v>0.5</c:v>
                </c:pt>
                <c:pt idx="26">
                  <c:v>0.48148148148148145</c:v>
                </c:pt>
                <c:pt idx="27">
                  <c:v>0.5</c:v>
                </c:pt>
                <c:pt idx="28">
                  <c:v>0.48275862068965519</c:v>
                </c:pt>
                <c:pt idx="29">
                  <c:v>0.5</c:v>
                </c:pt>
                <c:pt idx="30">
                  <c:v>0.4838709677419355</c:v>
                </c:pt>
                <c:pt idx="31">
                  <c:v>0.5</c:v>
                </c:pt>
                <c:pt idx="32">
                  <c:v>0.48484848484848486</c:v>
                </c:pt>
                <c:pt idx="33">
                  <c:v>0.47058823529411764</c:v>
                </c:pt>
                <c:pt idx="34">
                  <c:v>0.45714285714285713</c:v>
                </c:pt>
                <c:pt idx="35">
                  <c:v>0.47222222222222221</c:v>
                </c:pt>
                <c:pt idx="36">
                  <c:v>0.45945945945945948</c:v>
                </c:pt>
                <c:pt idx="37">
                  <c:v>0.47368421052631576</c:v>
                </c:pt>
                <c:pt idx="38">
                  <c:v>0.48717948717948717</c:v>
                </c:pt>
                <c:pt idx="39">
                  <c:v>0.47499999999999998</c:v>
                </c:pt>
                <c:pt idx="40">
                  <c:v>0.48780487804878048</c:v>
                </c:pt>
                <c:pt idx="41">
                  <c:v>0.47619047619047616</c:v>
                </c:pt>
                <c:pt idx="42">
                  <c:v>0.48837209302325579</c:v>
                </c:pt>
                <c:pt idx="43">
                  <c:v>0.47727272727272729</c:v>
                </c:pt>
                <c:pt idx="44">
                  <c:v>0.48888888888888887</c:v>
                </c:pt>
                <c:pt idx="45">
                  <c:v>0.5</c:v>
                </c:pt>
                <c:pt idx="46">
                  <c:v>0.48936170212765956</c:v>
                </c:pt>
                <c:pt idx="47">
                  <c:v>0.5</c:v>
                </c:pt>
                <c:pt idx="48">
                  <c:v>0.48979591836734693</c:v>
                </c:pt>
                <c:pt idx="49">
                  <c:v>0.5</c:v>
                </c:pt>
                <c:pt idx="50">
                  <c:v>0.49019607843137253</c:v>
                </c:pt>
                <c:pt idx="51">
                  <c:v>0.5</c:v>
                </c:pt>
                <c:pt idx="52">
                  <c:v>0.50943396226415094</c:v>
                </c:pt>
                <c:pt idx="53">
                  <c:v>0.51851851851851849</c:v>
                </c:pt>
                <c:pt idx="54">
                  <c:v>0.52727272727272723</c:v>
                </c:pt>
                <c:pt idx="55">
                  <c:v>0.5178571428571429</c:v>
                </c:pt>
                <c:pt idx="56">
                  <c:v>0.50877192982456143</c:v>
                </c:pt>
                <c:pt idx="57">
                  <c:v>0.51724137931034486</c:v>
                </c:pt>
                <c:pt idx="58">
                  <c:v>0.50847457627118642</c:v>
                </c:pt>
                <c:pt idx="59">
                  <c:v>0.51666666666666672</c:v>
                </c:pt>
                <c:pt idx="60">
                  <c:v>0.50819672131147542</c:v>
                </c:pt>
                <c:pt idx="6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A-4776-A869-DC69A4A83520}"/>
            </c:ext>
          </c:extLst>
        </c:ser>
        <c:ser>
          <c:idx val="1"/>
          <c:order val="1"/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случайные!$B$5:$BK$5</c:f>
              <c:numCache>
                <c:formatCode>General</c:formatCode>
                <c:ptCount val="62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0.45</c:v>
                </c:pt>
                <c:pt idx="26">
                  <c:v>0.45</c:v>
                </c:pt>
                <c:pt idx="27">
                  <c:v>0.45</c:v>
                </c:pt>
                <c:pt idx="28">
                  <c:v>0.45</c:v>
                </c:pt>
                <c:pt idx="29">
                  <c:v>0.45</c:v>
                </c:pt>
                <c:pt idx="30">
                  <c:v>0.45</c:v>
                </c:pt>
                <c:pt idx="31">
                  <c:v>0.45</c:v>
                </c:pt>
                <c:pt idx="32">
                  <c:v>0.45</c:v>
                </c:pt>
                <c:pt idx="33">
                  <c:v>0.45</c:v>
                </c:pt>
                <c:pt idx="34">
                  <c:v>0.45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0.45</c:v>
                </c:pt>
                <c:pt idx="41">
                  <c:v>0.45</c:v>
                </c:pt>
                <c:pt idx="42">
                  <c:v>0.45</c:v>
                </c:pt>
                <c:pt idx="43">
                  <c:v>0.45</c:v>
                </c:pt>
                <c:pt idx="44">
                  <c:v>0.45</c:v>
                </c:pt>
                <c:pt idx="45">
                  <c:v>0.45</c:v>
                </c:pt>
                <c:pt idx="46">
                  <c:v>0.45</c:v>
                </c:pt>
                <c:pt idx="47">
                  <c:v>0.45</c:v>
                </c:pt>
                <c:pt idx="48">
                  <c:v>0.45</c:v>
                </c:pt>
                <c:pt idx="49">
                  <c:v>0.45</c:v>
                </c:pt>
                <c:pt idx="50">
                  <c:v>0.45</c:v>
                </c:pt>
                <c:pt idx="51">
                  <c:v>0.45</c:v>
                </c:pt>
                <c:pt idx="52">
                  <c:v>0.45</c:v>
                </c:pt>
                <c:pt idx="53">
                  <c:v>0.45</c:v>
                </c:pt>
                <c:pt idx="54">
                  <c:v>0.45</c:v>
                </c:pt>
                <c:pt idx="55">
                  <c:v>0.45</c:v>
                </c:pt>
                <c:pt idx="56">
                  <c:v>0.45</c:v>
                </c:pt>
                <c:pt idx="57">
                  <c:v>0.45</c:v>
                </c:pt>
                <c:pt idx="58">
                  <c:v>0.45</c:v>
                </c:pt>
                <c:pt idx="59">
                  <c:v>0.45</c:v>
                </c:pt>
                <c:pt idx="60">
                  <c:v>0.45</c:v>
                </c:pt>
                <c:pt idx="6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A-4776-A869-DC69A4A83520}"/>
            </c:ext>
          </c:extLst>
        </c:ser>
        <c:ser>
          <c:idx val="2"/>
          <c:order val="2"/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случайные!$B$6:$BK$6</c:f>
              <c:numCache>
                <c:formatCode>General</c:formatCode>
                <c:ptCount val="62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  <c:pt idx="43">
                  <c:v>0.55000000000000004</c:v>
                </c:pt>
                <c:pt idx="44">
                  <c:v>0.55000000000000004</c:v>
                </c:pt>
                <c:pt idx="45">
                  <c:v>0.55000000000000004</c:v>
                </c:pt>
                <c:pt idx="46">
                  <c:v>0.55000000000000004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  <c:pt idx="51">
                  <c:v>0.55000000000000004</c:v>
                </c:pt>
                <c:pt idx="52">
                  <c:v>0.55000000000000004</c:v>
                </c:pt>
                <c:pt idx="53">
                  <c:v>0.55000000000000004</c:v>
                </c:pt>
                <c:pt idx="54">
                  <c:v>0.55000000000000004</c:v>
                </c:pt>
                <c:pt idx="55">
                  <c:v>0.55000000000000004</c:v>
                </c:pt>
                <c:pt idx="56">
                  <c:v>0.55000000000000004</c:v>
                </c:pt>
                <c:pt idx="57">
                  <c:v>0.55000000000000004</c:v>
                </c:pt>
                <c:pt idx="58">
                  <c:v>0.55000000000000004</c:v>
                </c:pt>
                <c:pt idx="59">
                  <c:v>0.55000000000000004</c:v>
                </c:pt>
                <c:pt idx="60">
                  <c:v>0.55000000000000004</c:v>
                </c:pt>
                <c:pt idx="6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A-4776-A869-DC69A4A83520}"/>
            </c:ext>
          </c:extLst>
        </c:ser>
        <c:ser>
          <c:idx val="3"/>
          <c:order val="3"/>
          <c:spPr>
            <a:ln w="2540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случайные!$B$7:$BK$7</c:f>
              <c:numCache>
                <c:formatCode>General</c:formatCode>
                <c:ptCount val="6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A-4776-A869-DC69A4A83520}"/>
            </c:ext>
          </c:extLst>
        </c:ser>
        <c:ser>
          <c:idx val="4"/>
          <c:order val="4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случайные!$B$8:$BK$8</c:f>
              <c:numCache>
                <c:formatCode>General</c:formatCode>
                <c:ptCount val="62"/>
                <c:pt idx="0">
                  <c:v>0.6484375</c:v>
                </c:pt>
                <c:pt idx="1">
                  <c:v>0.47265625</c:v>
                </c:pt>
                <c:pt idx="2">
                  <c:v>0.515625</c:v>
                </c:pt>
                <c:pt idx="3">
                  <c:v>0.4375</c:v>
                </c:pt>
                <c:pt idx="4">
                  <c:v>0.43125000000000002</c:v>
                </c:pt>
                <c:pt idx="5">
                  <c:v>0.49479166666666669</c:v>
                </c:pt>
                <c:pt idx="6">
                  <c:v>0.5145089285714286</c:v>
                </c:pt>
                <c:pt idx="7">
                  <c:v>0.484375</c:v>
                </c:pt>
                <c:pt idx="8">
                  <c:v>0.49131944444444442</c:v>
                </c:pt>
                <c:pt idx="9">
                  <c:v>0.45234374999999999</c:v>
                </c:pt>
                <c:pt idx="10">
                  <c:v>0.4296875</c:v>
                </c:pt>
                <c:pt idx="11">
                  <c:v>0.42838541666666669</c:v>
                </c:pt>
                <c:pt idx="12">
                  <c:v>0.45973557692307693</c:v>
                </c:pt>
                <c:pt idx="13">
                  <c:v>0.47488839285714285</c:v>
                </c:pt>
                <c:pt idx="14">
                  <c:v>0.46666666666666667</c:v>
                </c:pt>
                <c:pt idx="15">
                  <c:v>0.4814453125</c:v>
                </c:pt>
                <c:pt idx="16">
                  <c:v>0.47748161764705882</c:v>
                </c:pt>
                <c:pt idx="17">
                  <c:v>0.49739583333333331</c:v>
                </c:pt>
                <c:pt idx="18">
                  <c:v>0.50657894736842102</c:v>
                </c:pt>
                <c:pt idx="19">
                  <c:v>0.49843749999999998</c:v>
                </c:pt>
                <c:pt idx="20">
                  <c:v>0.50744047619047616</c:v>
                </c:pt>
                <c:pt idx="21">
                  <c:v>0.50177556818181823</c:v>
                </c:pt>
                <c:pt idx="22">
                  <c:v>0.51324728260869568</c:v>
                </c:pt>
                <c:pt idx="23">
                  <c:v>0.51432291666666663</c:v>
                </c:pt>
                <c:pt idx="24">
                  <c:v>0.49687500000000001</c:v>
                </c:pt>
                <c:pt idx="25">
                  <c:v>0.48407451923076922</c:v>
                </c:pt>
                <c:pt idx="26">
                  <c:v>0.4782986111111111</c:v>
                </c:pt>
                <c:pt idx="27">
                  <c:v>0.48465401785714285</c:v>
                </c:pt>
                <c:pt idx="28">
                  <c:v>0.47871767241379309</c:v>
                </c:pt>
                <c:pt idx="29">
                  <c:v>0.48385416666666664</c:v>
                </c:pt>
                <c:pt idx="30">
                  <c:v>0.47681451612903225</c:v>
                </c:pt>
                <c:pt idx="31">
                  <c:v>0.478759765625</c:v>
                </c:pt>
                <c:pt idx="32">
                  <c:v>0.46685606060606061</c:v>
                </c:pt>
                <c:pt idx="33">
                  <c:v>0.45818014705882354</c:v>
                </c:pt>
                <c:pt idx="34">
                  <c:v>0.45513392857142859</c:v>
                </c:pt>
                <c:pt idx="35">
                  <c:v>0.46202256944444442</c:v>
                </c:pt>
                <c:pt idx="36">
                  <c:v>0.46072635135135137</c:v>
                </c:pt>
                <c:pt idx="37">
                  <c:v>0.47039473684210525</c:v>
                </c:pt>
                <c:pt idx="38">
                  <c:v>0.47536057692307693</c:v>
                </c:pt>
                <c:pt idx="39">
                  <c:v>0.47187499999999999</c:v>
                </c:pt>
                <c:pt idx="40">
                  <c:v>0.4767530487804878</c:v>
                </c:pt>
                <c:pt idx="41">
                  <c:v>0.47377232142857145</c:v>
                </c:pt>
                <c:pt idx="42">
                  <c:v>0.47910610465116277</c:v>
                </c:pt>
                <c:pt idx="43">
                  <c:v>0.47762784090909088</c:v>
                </c:pt>
                <c:pt idx="44">
                  <c:v>0.48541666666666666</c:v>
                </c:pt>
                <c:pt idx="45">
                  <c:v>0.48930027173913043</c:v>
                </c:pt>
                <c:pt idx="46">
                  <c:v>0.48603723404255317</c:v>
                </c:pt>
                <c:pt idx="47">
                  <c:v>0.49007161458333331</c:v>
                </c:pt>
                <c:pt idx="48">
                  <c:v>0.48756377551020408</c:v>
                </c:pt>
                <c:pt idx="49">
                  <c:v>0.49249999999999999</c:v>
                </c:pt>
                <c:pt idx="50">
                  <c:v>0.49203431372549017</c:v>
                </c:pt>
                <c:pt idx="51">
                  <c:v>0.50075120192307687</c:v>
                </c:pt>
                <c:pt idx="52">
                  <c:v>0.50810731132075471</c:v>
                </c:pt>
                <c:pt idx="53">
                  <c:v>0.51331018518518523</c:v>
                </c:pt>
                <c:pt idx="54">
                  <c:v>0.5144886363636364</c:v>
                </c:pt>
                <c:pt idx="55">
                  <c:v>0.5080915178571429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DA-4776-A869-DC69A4A8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004319"/>
        <c:axId val="1302002879"/>
      </c:lineChart>
      <c:catAx>
        <c:axId val="130200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02879"/>
        <c:crosses val="autoZero"/>
        <c:auto val="1"/>
        <c:lblAlgn val="ctr"/>
        <c:lblOffset val="100"/>
        <c:noMultiLvlLbl val="0"/>
      </c:catAx>
      <c:valAx>
        <c:axId val="1302002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04319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900098911968347"/>
          <c:y val="0.90142812148481444"/>
          <c:w val="0.29673590504451042"/>
          <c:h val="5.5970540995808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случайные!$B$9</c:f>
              <c:numCache>
                <c:formatCode>General</c:formatCode>
                <c:ptCount val="1"/>
                <c:pt idx="0">
                  <c:v>0.6484375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3-41EB-AC66-6DB57CFE05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случайные!$C$9</c:f>
              <c:numCache>
                <c:formatCode>General</c:formatCode>
                <c:ptCount val="1"/>
                <c:pt idx="0">
                  <c:v>0.296875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78E3-41EB-AC66-6DB57CFE05C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случайные!$D$9</c:f>
              <c:numCache>
                <c:formatCode>General</c:formatCode>
                <c:ptCount val="1"/>
                <c:pt idx="0">
                  <c:v>0.6015625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78E3-41EB-AC66-6DB57CFE05C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случайные!$E$9</c:f>
              <c:numCache>
                <c:formatCode>General</c:formatCode>
                <c:ptCount val="1"/>
                <c:pt idx="0">
                  <c:v>0.203125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78E3-41EB-AC66-6DB57CFE05C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случайные!$F$9</c:f>
              <c:numCache>
                <c:formatCode>General</c:formatCode>
                <c:ptCount val="1"/>
                <c:pt idx="0">
                  <c:v>0.40625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78E3-41EB-AC66-6DB57CFE05C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случайные!$G$9</c:f>
              <c:numCache>
                <c:formatCode>General</c:formatCode>
                <c:ptCount val="1"/>
                <c:pt idx="0">
                  <c:v>0.8125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78E3-41EB-AC66-6DB57CFE05C9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случайные!$H$9</c:f>
              <c:numCache>
                <c:formatCode>General</c:formatCode>
                <c:ptCount val="1"/>
                <c:pt idx="0">
                  <c:v>0.6328125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78E3-41EB-AC66-6DB57CFE05C9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случайные!$I$9</c:f>
              <c:numCache>
                <c:formatCode>General</c:formatCode>
                <c:ptCount val="1"/>
                <c:pt idx="0">
                  <c:v>0.2734375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78E3-41EB-AC66-6DB57CFE05C9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случайные!$J$9</c:f>
              <c:numCache>
                <c:formatCode>General</c:formatCode>
                <c:ptCount val="1"/>
                <c:pt idx="0">
                  <c:v>0.546875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78E3-41EB-AC66-6DB57CFE05C9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случайные!$K$9</c:f>
              <c:numCache>
                <c:formatCode>General</c:formatCode>
                <c:ptCount val="1"/>
                <c:pt idx="0">
                  <c:v>0.1015625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78E3-41EB-AC66-6DB57CFE05C9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случайные!$L$9</c:f>
              <c:numCache>
                <c:formatCode>General</c:formatCode>
                <c:ptCount val="1"/>
                <c:pt idx="0">
                  <c:v>0.203125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78E3-41EB-AC66-6DB57CFE05C9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случайные!$M$9</c:f>
              <c:numCache>
                <c:formatCode>General</c:formatCode>
                <c:ptCount val="1"/>
                <c:pt idx="0">
                  <c:v>0.4140625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78E3-41EB-AC66-6DB57CFE05C9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случайные!$N$9</c:f>
              <c:numCache>
                <c:formatCode>General</c:formatCode>
                <c:ptCount val="1"/>
                <c:pt idx="0">
                  <c:v>0.8359375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78E3-41EB-AC66-6DB57CFE05C9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случайные!$O$9</c:f>
              <c:numCache>
                <c:formatCode>General</c:formatCode>
                <c:ptCount val="1"/>
                <c:pt idx="0">
                  <c:v>0.671875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78E3-41EB-AC66-6DB57CFE05C9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случайные!$P$9</c:f>
              <c:numCache>
                <c:formatCode>General</c:formatCode>
                <c:ptCount val="1"/>
                <c:pt idx="0">
                  <c:v>0.3515625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78E3-41EB-AC66-6DB57CFE05C9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случайные!$Q$9</c:f>
              <c:numCache>
                <c:formatCode>General</c:formatCode>
                <c:ptCount val="1"/>
                <c:pt idx="0">
                  <c:v>0.703125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78E3-41EB-AC66-6DB57CFE05C9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случайные!$R$9</c:f>
              <c:numCache>
                <c:formatCode>General</c:formatCode>
                <c:ptCount val="1"/>
                <c:pt idx="0">
                  <c:v>0.4140625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78E3-41EB-AC66-6DB57CFE05C9}"/>
            </c:ext>
          </c:extLst>
        </c:ser>
        <c:ser>
          <c:idx val="17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случайные!$S$9</c:f>
              <c:numCache>
                <c:formatCode>General</c:formatCode>
                <c:ptCount val="1"/>
                <c:pt idx="0">
                  <c:v>0.8359375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78E3-41EB-AC66-6DB57CFE05C9}"/>
            </c:ext>
          </c:extLst>
        </c:ser>
        <c:ser>
          <c:idx val="18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yVal>
            <c:numRef>
              <c:f>случайные!$T$9</c:f>
              <c:numCache>
                <c:formatCode>General</c:formatCode>
                <c:ptCount val="1"/>
                <c:pt idx="0">
                  <c:v>0.671875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78E3-41EB-AC66-6DB57CFE05C9}"/>
            </c:ext>
          </c:extLst>
        </c:ser>
        <c:ser>
          <c:idx val="19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yVal>
            <c:numRef>
              <c:f>случайные!$U$9</c:f>
              <c:numCache>
                <c:formatCode>General</c:formatCode>
                <c:ptCount val="1"/>
                <c:pt idx="0">
                  <c:v>0.34375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78E3-41EB-AC66-6DB57CFE05C9}"/>
            </c:ext>
          </c:extLst>
        </c:ser>
        <c:ser>
          <c:idx val="20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yVal>
            <c:numRef>
              <c:f>случайные!$V$9</c:f>
              <c:numCache>
                <c:formatCode>General</c:formatCode>
                <c:ptCount val="1"/>
                <c:pt idx="0">
                  <c:v>0.6875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78E3-41EB-AC66-6DB57CFE05C9}"/>
            </c:ext>
          </c:extLst>
        </c:ser>
        <c:ser>
          <c:idx val="21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yVal>
            <c:numRef>
              <c:f>случайные!$W$9</c:f>
              <c:numCache>
                <c:formatCode>General</c:formatCode>
                <c:ptCount val="1"/>
                <c:pt idx="0">
                  <c:v>0.3828125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78E3-41EB-AC66-6DB57CFE05C9}"/>
            </c:ext>
          </c:extLst>
        </c:ser>
        <c:ser>
          <c:idx val="22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yVal>
            <c:numRef>
              <c:f>случайные!$X$9</c:f>
              <c:numCache>
                <c:formatCode>General</c:formatCode>
                <c:ptCount val="1"/>
                <c:pt idx="0">
                  <c:v>0.765625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78E3-41EB-AC66-6DB57CFE05C9}"/>
            </c:ext>
          </c:extLst>
        </c:ser>
        <c:ser>
          <c:idx val="23"/>
          <c:order val="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yVal>
            <c:numRef>
              <c:f>случайные!$Y$9</c:f>
              <c:numCache>
                <c:formatCode>General</c:formatCode>
                <c:ptCount val="1"/>
                <c:pt idx="0">
                  <c:v>0.5390625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78E3-41EB-AC66-6DB57CFE05C9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случайные!$Z$9</c:f>
              <c:numCache>
                <c:formatCode>General</c:formatCode>
                <c:ptCount val="1"/>
                <c:pt idx="0">
                  <c:v>7.8125E-2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78E3-41EB-AC66-6DB57CFE05C9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случайные!$AA$9</c:f>
              <c:numCache>
                <c:formatCode>General</c:formatCode>
                <c:ptCount val="1"/>
                <c:pt idx="0">
                  <c:v>0.1640625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78E3-41EB-AC66-6DB57CFE05C9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случайные!$AB$9</c:f>
              <c:numCache>
                <c:formatCode>General</c:formatCode>
                <c:ptCount val="1"/>
                <c:pt idx="0">
                  <c:v>0.328125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78E3-41EB-AC66-6DB57CFE05C9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случайные!$AC$9</c:f>
              <c:numCache>
                <c:formatCode>General</c:formatCode>
                <c:ptCount val="1"/>
                <c:pt idx="0">
                  <c:v>0.65625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78E3-41EB-AC66-6DB57CFE05C9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случайные!$AD$9</c:f>
              <c:numCache>
                <c:formatCode>General</c:formatCode>
                <c:ptCount val="1"/>
                <c:pt idx="0">
                  <c:v>0.3125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78E3-41EB-AC66-6DB57CFE05C9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случайные!$AE$9</c:f>
              <c:numCache>
                <c:formatCode>General</c:formatCode>
                <c:ptCount val="1"/>
                <c:pt idx="0">
                  <c:v>0.6328125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78E3-41EB-AC66-6DB57CFE05C9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yVal>
            <c:numRef>
              <c:f>случайные!$AF$9</c:f>
              <c:numCache>
                <c:formatCode>General</c:formatCode>
                <c:ptCount val="1"/>
                <c:pt idx="0">
                  <c:v>0.265625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78E3-41EB-AC66-6DB57CFE05C9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yVal>
            <c:numRef>
              <c:f>случайные!$AG$9</c:f>
              <c:numCache>
                <c:formatCode>General</c:formatCode>
                <c:ptCount val="1"/>
                <c:pt idx="0">
                  <c:v>0.5390625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78E3-41EB-AC66-6DB57CFE05C9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yVal>
            <c:numRef>
              <c:f>случайные!$AH$9</c:f>
              <c:numCache>
                <c:formatCode>General</c:formatCode>
                <c:ptCount val="1"/>
                <c:pt idx="0">
                  <c:v>8.59375E-2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78E3-41EB-AC66-6DB57CFE05C9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yVal>
            <c:numRef>
              <c:f>случайные!$AI$9</c:f>
              <c:numCache>
                <c:formatCode>General</c:formatCode>
                <c:ptCount val="1"/>
                <c:pt idx="0">
                  <c:v>0.171875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78E3-41EB-AC66-6DB57CFE05C9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yVal>
            <c:numRef>
              <c:f>случайные!$AJ$9</c:f>
              <c:numCache>
                <c:formatCode>General</c:formatCode>
                <c:ptCount val="1"/>
                <c:pt idx="0">
                  <c:v>0.3515625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78E3-41EB-AC66-6DB57CFE05C9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yVal>
            <c:numRef>
              <c:f>случайные!$AK$9</c:f>
              <c:numCache>
                <c:formatCode>General</c:formatCode>
                <c:ptCount val="1"/>
                <c:pt idx="0">
                  <c:v>0.703125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78E3-41EB-AC66-6DB57CFE05C9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yVal>
            <c:numRef>
              <c:f>случайные!$AL$9</c:f>
              <c:numCache>
                <c:formatCode>General</c:formatCode>
                <c:ptCount val="1"/>
                <c:pt idx="0">
                  <c:v>0.4140625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78E3-41EB-AC66-6DB57CFE05C9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yVal>
            <c:numRef>
              <c:f>случайные!$AM$9</c:f>
              <c:numCache>
                <c:formatCode>General</c:formatCode>
                <c:ptCount val="1"/>
                <c:pt idx="0">
                  <c:v>0.828125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78E3-41EB-AC66-6DB57CFE05C9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yVal>
            <c:numRef>
              <c:f>случайные!$AN$9</c:f>
              <c:numCache>
                <c:formatCode>General</c:formatCode>
                <c:ptCount val="1"/>
                <c:pt idx="0">
                  <c:v>0.6640625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78E3-41EB-AC66-6DB57CFE05C9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yVal>
            <c:numRef>
              <c:f>случайные!$AO$9</c:f>
              <c:numCache>
                <c:formatCode>General</c:formatCode>
                <c:ptCount val="1"/>
                <c:pt idx="0">
                  <c:v>0.3359375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78E3-41EB-AC66-6DB57CFE05C9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yVal>
            <c:numRef>
              <c:f>случайные!$AP$9</c:f>
              <c:numCache>
                <c:formatCode>General</c:formatCode>
                <c:ptCount val="1"/>
                <c:pt idx="0">
                  <c:v>0.671875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78E3-41EB-AC66-6DB57CFE05C9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yVal>
            <c:numRef>
              <c:f>случайные!$AQ$9</c:f>
              <c:numCache>
                <c:formatCode>General</c:formatCode>
                <c:ptCount val="1"/>
                <c:pt idx="0">
                  <c:v>0.3515625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78E3-41EB-AC66-6DB57CFE05C9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yVal>
            <c:numRef>
              <c:f>случайные!$AR$9</c:f>
              <c:numCache>
                <c:formatCode>General</c:formatCode>
                <c:ptCount val="1"/>
                <c:pt idx="0">
                  <c:v>0.703125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78E3-41EB-AC66-6DB57CFE05C9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yVal>
            <c:numRef>
              <c:f>случайные!$AS$9</c:f>
              <c:numCache>
                <c:formatCode>General</c:formatCode>
                <c:ptCount val="1"/>
                <c:pt idx="0">
                  <c:v>0.4140625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78E3-41EB-AC66-6DB57CFE05C9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yVal>
            <c:numRef>
              <c:f>случайные!$AT$9</c:f>
              <c:numCache>
                <c:formatCode>General</c:formatCode>
                <c:ptCount val="1"/>
                <c:pt idx="0">
                  <c:v>0.828125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78E3-41EB-AC66-6DB57CFE05C9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yVal>
            <c:numRef>
              <c:f>случайные!$AU$9</c:f>
              <c:numCache>
                <c:formatCode>General</c:formatCode>
                <c:ptCount val="1"/>
                <c:pt idx="0">
                  <c:v>0.6640625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78E3-41EB-AC66-6DB57CFE05C9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yVal>
            <c:numRef>
              <c:f>случайные!$AV$9</c:f>
              <c:numCache>
                <c:formatCode>General</c:formatCode>
                <c:ptCount val="1"/>
                <c:pt idx="0">
                  <c:v>0.3359375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78E3-41EB-AC66-6DB57CFE05C9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yVal>
            <c:numRef>
              <c:f>случайные!$AW$9</c:f>
              <c:numCache>
                <c:formatCode>General</c:formatCode>
                <c:ptCount val="1"/>
                <c:pt idx="0">
                  <c:v>0.6796875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78E3-41EB-AC66-6DB57CFE05C9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yVal>
            <c:numRef>
              <c:f>случайные!$AX$9</c:f>
              <c:numCache>
                <c:formatCode>General</c:formatCode>
                <c:ptCount val="1"/>
                <c:pt idx="0">
                  <c:v>0.3671875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78E3-41EB-AC66-6DB57CFE05C9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yVal>
            <c:numRef>
              <c:f>случайные!$AY$9</c:f>
              <c:numCache>
                <c:formatCode>General</c:formatCode>
                <c:ptCount val="1"/>
                <c:pt idx="0">
                  <c:v>0.734375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78E3-41EB-AC66-6DB57CFE05C9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yVal>
            <c:numRef>
              <c:f>случайные!$AZ$9</c:f>
              <c:numCache>
                <c:formatCode>General</c:formatCode>
                <c:ptCount val="1"/>
                <c:pt idx="0">
                  <c:v>0.46875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78E3-41EB-AC66-6DB57CFE05C9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yVal>
            <c:numRef>
              <c:f>случайные!$BA$9</c:f>
              <c:numCache>
                <c:formatCode>General</c:formatCode>
                <c:ptCount val="1"/>
                <c:pt idx="0">
                  <c:v>0.9453125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78E3-41EB-AC66-6DB57CFE05C9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yVal>
            <c:numRef>
              <c:f>случайные!$BB$9</c:f>
              <c:numCache>
                <c:formatCode>General</c:formatCode>
                <c:ptCount val="1"/>
                <c:pt idx="0">
                  <c:v>0.890625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78E3-41EB-AC66-6DB57CFE05C9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yVal>
            <c:numRef>
              <c:f>случайные!$BC$9</c:f>
              <c:numCache>
                <c:formatCode>General</c:formatCode>
                <c:ptCount val="1"/>
                <c:pt idx="0">
                  <c:v>0.7890625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78E3-41EB-AC66-6DB57CFE05C9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случайные!$BD$9</c:f>
              <c:numCache>
                <c:formatCode>General</c:formatCode>
                <c:ptCount val="1"/>
                <c:pt idx="0">
                  <c:v>0.578125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78E3-41EB-AC66-6DB57CFE05C9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случайные!$BE$9</c:f>
              <c:numCache>
                <c:formatCode>General</c:formatCode>
                <c:ptCount val="1"/>
                <c:pt idx="0">
                  <c:v>0.15625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78E3-41EB-AC66-6DB57CFE0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502479"/>
        <c:axId val="1331512079"/>
      </c:scatterChart>
      <c:valAx>
        <c:axId val="133150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1512079"/>
        <c:crosses val="autoZero"/>
        <c:crossBetween val="midCat"/>
      </c:valAx>
      <c:valAx>
        <c:axId val="13315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150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частота встреч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Лист1!$B$3:$CW$3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Лист1!$B$4:$CW$4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0.6</c:v>
                </c:pt>
                <c:pt idx="5">
                  <c:v>0.5</c:v>
                </c:pt>
                <c:pt idx="6">
                  <c:v>0.42857142857142855</c:v>
                </c:pt>
                <c:pt idx="7">
                  <c:v>0.375</c:v>
                </c:pt>
                <c:pt idx="8">
                  <c:v>0.44444444444444442</c:v>
                </c:pt>
                <c:pt idx="9">
                  <c:v>0.5</c:v>
                </c:pt>
                <c:pt idx="10">
                  <c:v>0.54545454545454541</c:v>
                </c:pt>
                <c:pt idx="11">
                  <c:v>0.58333333333333337</c:v>
                </c:pt>
                <c:pt idx="12">
                  <c:v>0.61538461538461542</c:v>
                </c:pt>
                <c:pt idx="13">
                  <c:v>0.6428571428571429</c:v>
                </c:pt>
                <c:pt idx="14">
                  <c:v>0.66666666666666663</c:v>
                </c:pt>
                <c:pt idx="15">
                  <c:v>0.6875</c:v>
                </c:pt>
                <c:pt idx="16">
                  <c:v>0.6470588235294118</c:v>
                </c:pt>
                <c:pt idx="17">
                  <c:v>0.66666666666666663</c:v>
                </c:pt>
                <c:pt idx="18">
                  <c:v>0.63157894736842102</c:v>
                </c:pt>
                <c:pt idx="19">
                  <c:v>0.6</c:v>
                </c:pt>
                <c:pt idx="20">
                  <c:v>0.61904761904761907</c:v>
                </c:pt>
                <c:pt idx="21">
                  <c:v>0.63636363636363635</c:v>
                </c:pt>
                <c:pt idx="22">
                  <c:v>0.60869565217391308</c:v>
                </c:pt>
                <c:pt idx="23">
                  <c:v>0.58333333333333337</c:v>
                </c:pt>
                <c:pt idx="24">
                  <c:v>0.56000000000000005</c:v>
                </c:pt>
                <c:pt idx="25">
                  <c:v>0.53846153846153844</c:v>
                </c:pt>
                <c:pt idx="26">
                  <c:v>0.51851851851851849</c:v>
                </c:pt>
                <c:pt idx="27">
                  <c:v>0.5</c:v>
                </c:pt>
                <c:pt idx="28">
                  <c:v>0.48275862068965519</c:v>
                </c:pt>
                <c:pt idx="29">
                  <c:v>0.46666666666666667</c:v>
                </c:pt>
                <c:pt idx="30">
                  <c:v>0.4838709677419355</c:v>
                </c:pt>
                <c:pt idx="31">
                  <c:v>0.5</c:v>
                </c:pt>
                <c:pt idx="32">
                  <c:v>0.48484848484848486</c:v>
                </c:pt>
                <c:pt idx="33">
                  <c:v>0.47058823529411764</c:v>
                </c:pt>
                <c:pt idx="34">
                  <c:v>0.48571428571428571</c:v>
                </c:pt>
                <c:pt idx="35">
                  <c:v>0.5</c:v>
                </c:pt>
                <c:pt idx="36">
                  <c:v>0.48648648648648651</c:v>
                </c:pt>
                <c:pt idx="37">
                  <c:v>0.47368421052631576</c:v>
                </c:pt>
                <c:pt idx="38">
                  <c:v>0.46153846153846156</c:v>
                </c:pt>
                <c:pt idx="39">
                  <c:v>0.45</c:v>
                </c:pt>
                <c:pt idx="40">
                  <c:v>0.43902439024390244</c:v>
                </c:pt>
                <c:pt idx="41">
                  <c:v>0.42857142857142855</c:v>
                </c:pt>
                <c:pt idx="42">
                  <c:v>0.41860465116279072</c:v>
                </c:pt>
                <c:pt idx="43">
                  <c:v>0.40909090909090912</c:v>
                </c:pt>
                <c:pt idx="44">
                  <c:v>0.4</c:v>
                </c:pt>
                <c:pt idx="45">
                  <c:v>0.39130434782608697</c:v>
                </c:pt>
                <c:pt idx="46">
                  <c:v>0.40425531914893614</c:v>
                </c:pt>
                <c:pt idx="47">
                  <c:v>0.39583333333333331</c:v>
                </c:pt>
                <c:pt idx="48">
                  <c:v>0.38775510204081631</c:v>
                </c:pt>
                <c:pt idx="49">
                  <c:v>0.38</c:v>
                </c:pt>
                <c:pt idx="50">
                  <c:v>0.37254901960784315</c:v>
                </c:pt>
                <c:pt idx="51">
                  <c:v>0.38461538461538464</c:v>
                </c:pt>
                <c:pt idx="52">
                  <c:v>0.37735849056603776</c:v>
                </c:pt>
                <c:pt idx="53">
                  <c:v>0.3888888888888889</c:v>
                </c:pt>
                <c:pt idx="54">
                  <c:v>0.38181818181818183</c:v>
                </c:pt>
                <c:pt idx="55">
                  <c:v>0.39285714285714285</c:v>
                </c:pt>
                <c:pt idx="56">
                  <c:v>0.38596491228070173</c:v>
                </c:pt>
                <c:pt idx="57">
                  <c:v>0.39655172413793105</c:v>
                </c:pt>
                <c:pt idx="58">
                  <c:v>0.40677966101694918</c:v>
                </c:pt>
                <c:pt idx="59">
                  <c:v>0.4</c:v>
                </c:pt>
                <c:pt idx="60">
                  <c:v>0.4098360655737705</c:v>
                </c:pt>
                <c:pt idx="61">
                  <c:v>0.40322580645161288</c:v>
                </c:pt>
                <c:pt idx="62">
                  <c:v>0.41269841269841268</c:v>
                </c:pt>
                <c:pt idx="63">
                  <c:v>0.40625</c:v>
                </c:pt>
                <c:pt idx="64">
                  <c:v>0.4</c:v>
                </c:pt>
                <c:pt idx="65">
                  <c:v>0.39393939393939392</c:v>
                </c:pt>
                <c:pt idx="66">
                  <c:v>0.38805970149253732</c:v>
                </c:pt>
                <c:pt idx="67">
                  <c:v>0.39705882352941174</c:v>
                </c:pt>
                <c:pt idx="68">
                  <c:v>0.39130434782608697</c:v>
                </c:pt>
                <c:pt idx="69">
                  <c:v>0.4</c:v>
                </c:pt>
                <c:pt idx="70">
                  <c:v>0.39436619718309857</c:v>
                </c:pt>
                <c:pt idx="71">
                  <c:v>0.40277777777777779</c:v>
                </c:pt>
                <c:pt idx="72">
                  <c:v>0.39726027397260272</c:v>
                </c:pt>
                <c:pt idx="73">
                  <c:v>0.40540540540540543</c:v>
                </c:pt>
                <c:pt idx="74">
                  <c:v>0.41333333333333333</c:v>
                </c:pt>
                <c:pt idx="75">
                  <c:v>0.40789473684210525</c:v>
                </c:pt>
                <c:pt idx="76">
                  <c:v>0.41558441558441561</c:v>
                </c:pt>
                <c:pt idx="77">
                  <c:v>0.41025641025641024</c:v>
                </c:pt>
                <c:pt idx="78">
                  <c:v>0.4050632911392405</c:v>
                </c:pt>
                <c:pt idx="79">
                  <c:v>0.41249999999999998</c:v>
                </c:pt>
                <c:pt idx="80">
                  <c:v>0.40740740740740738</c:v>
                </c:pt>
                <c:pt idx="81">
                  <c:v>0.41463414634146339</c:v>
                </c:pt>
                <c:pt idx="82">
                  <c:v>0.42168674698795183</c:v>
                </c:pt>
                <c:pt idx="83">
                  <c:v>0.41666666666666669</c:v>
                </c:pt>
                <c:pt idx="84">
                  <c:v>0.41176470588235292</c:v>
                </c:pt>
                <c:pt idx="85">
                  <c:v>0.41860465116279072</c:v>
                </c:pt>
                <c:pt idx="86">
                  <c:v>0.41379310344827586</c:v>
                </c:pt>
                <c:pt idx="87">
                  <c:v>0.40909090909090912</c:v>
                </c:pt>
                <c:pt idx="88">
                  <c:v>0.4157303370786517</c:v>
                </c:pt>
                <c:pt idx="89">
                  <c:v>0.41111111111111109</c:v>
                </c:pt>
                <c:pt idx="90">
                  <c:v>0.40659340659340659</c:v>
                </c:pt>
                <c:pt idx="91">
                  <c:v>0.41304347826086957</c:v>
                </c:pt>
                <c:pt idx="92">
                  <c:v>0.41935483870967744</c:v>
                </c:pt>
                <c:pt idx="93">
                  <c:v>0.41489361702127658</c:v>
                </c:pt>
                <c:pt idx="94">
                  <c:v>0.42105263157894735</c:v>
                </c:pt>
                <c:pt idx="95">
                  <c:v>0.42708333333333331</c:v>
                </c:pt>
                <c:pt idx="96">
                  <c:v>0.42268041237113402</c:v>
                </c:pt>
                <c:pt idx="97">
                  <c:v>0.41836734693877553</c:v>
                </c:pt>
                <c:pt idx="98">
                  <c:v>0.42424242424242425</c:v>
                </c:pt>
                <c:pt idx="9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B-4661-9081-BD2CE6FD745F}"/>
            </c:ext>
          </c:extLst>
        </c:ser>
        <c:ser>
          <c:idx val="1"/>
          <c:order val="1"/>
          <c:tx>
            <c:v>нижний предел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Лист1!$B$3:$CW$3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Лист1!$B$5:$CW$5</c:f>
              <c:numCache>
                <c:formatCode>General</c:formatCode>
                <c:ptCount val="100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0.37</c:v>
                </c:pt>
                <c:pt idx="29">
                  <c:v>0.37</c:v>
                </c:pt>
                <c:pt idx="30">
                  <c:v>0.37</c:v>
                </c:pt>
                <c:pt idx="31">
                  <c:v>0.37</c:v>
                </c:pt>
                <c:pt idx="32">
                  <c:v>0.37</c:v>
                </c:pt>
                <c:pt idx="33">
                  <c:v>0.37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0.37</c:v>
                </c:pt>
                <c:pt idx="38">
                  <c:v>0.37</c:v>
                </c:pt>
                <c:pt idx="39">
                  <c:v>0.37</c:v>
                </c:pt>
                <c:pt idx="40">
                  <c:v>0.37</c:v>
                </c:pt>
                <c:pt idx="41">
                  <c:v>0.37</c:v>
                </c:pt>
                <c:pt idx="42">
                  <c:v>0.37</c:v>
                </c:pt>
                <c:pt idx="43">
                  <c:v>0.37</c:v>
                </c:pt>
                <c:pt idx="44">
                  <c:v>0.37</c:v>
                </c:pt>
                <c:pt idx="45">
                  <c:v>0.37</c:v>
                </c:pt>
                <c:pt idx="46">
                  <c:v>0.37</c:v>
                </c:pt>
                <c:pt idx="47">
                  <c:v>0.37</c:v>
                </c:pt>
                <c:pt idx="48">
                  <c:v>0.37</c:v>
                </c:pt>
                <c:pt idx="49">
                  <c:v>0.37</c:v>
                </c:pt>
                <c:pt idx="50">
                  <c:v>0.37</c:v>
                </c:pt>
                <c:pt idx="51">
                  <c:v>0.37</c:v>
                </c:pt>
                <c:pt idx="52">
                  <c:v>0.37</c:v>
                </c:pt>
                <c:pt idx="53">
                  <c:v>0.37</c:v>
                </c:pt>
                <c:pt idx="54">
                  <c:v>0.37</c:v>
                </c:pt>
                <c:pt idx="55">
                  <c:v>0.37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0.37</c:v>
                </c:pt>
                <c:pt idx="60">
                  <c:v>0.37</c:v>
                </c:pt>
                <c:pt idx="61">
                  <c:v>0.37</c:v>
                </c:pt>
                <c:pt idx="62">
                  <c:v>0.37</c:v>
                </c:pt>
                <c:pt idx="63">
                  <c:v>0.37</c:v>
                </c:pt>
                <c:pt idx="64">
                  <c:v>0.37</c:v>
                </c:pt>
                <c:pt idx="65">
                  <c:v>0.37</c:v>
                </c:pt>
                <c:pt idx="66">
                  <c:v>0.37</c:v>
                </c:pt>
                <c:pt idx="67">
                  <c:v>0.37</c:v>
                </c:pt>
                <c:pt idx="68">
                  <c:v>0.37</c:v>
                </c:pt>
                <c:pt idx="69">
                  <c:v>0.37</c:v>
                </c:pt>
                <c:pt idx="70">
                  <c:v>0.37</c:v>
                </c:pt>
                <c:pt idx="71">
                  <c:v>0.37</c:v>
                </c:pt>
                <c:pt idx="72">
                  <c:v>0.37</c:v>
                </c:pt>
                <c:pt idx="73">
                  <c:v>0.37</c:v>
                </c:pt>
                <c:pt idx="74">
                  <c:v>0.37</c:v>
                </c:pt>
                <c:pt idx="75">
                  <c:v>0.37</c:v>
                </c:pt>
                <c:pt idx="76">
                  <c:v>0.37</c:v>
                </c:pt>
                <c:pt idx="77">
                  <c:v>0.37</c:v>
                </c:pt>
                <c:pt idx="78">
                  <c:v>0.37</c:v>
                </c:pt>
                <c:pt idx="79">
                  <c:v>0.37</c:v>
                </c:pt>
                <c:pt idx="80">
                  <c:v>0.37</c:v>
                </c:pt>
                <c:pt idx="81">
                  <c:v>0.37</c:v>
                </c:pt>
                <c:pt idx="82">
                  <c:v>0.37</c:v>
                </c:pt>
                <c:pt idx="83">
                  <c:v>0.37</c:v>
                </c:pt>
                <c:pt idx="84">
                  <c:v>0.37</c:v>
                </c:pt>
                <c:pt idx="85">
                  <c:v>0.37</c:v>
                </c:pt>
                <c:pt idx="86">
                  <c:v>0.37</c:v>
                </c:pt>
                <c:pt idx="87">
                  <c:v>0.37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</c:v>
                </c:pt>
                <c:pt idx="97">
                  <c:v>0.37</c:v>
                </c:pt>
                <c:pt idx="98">
                  <c:v>0.37</c:v>
                </c:pt>
                <c:pt idx="9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B-4661-9081-BD2CE6FD745F}"/>
            </c:ext>
          </c:extLst>
        </c:ser>
        <c:ser>
          <c:idx val="2"/>
          <c:order val="2"/>
          <c:tx>
            <c:v>Верхний предел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Лист1!$B$3:$CW$3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Лист1!$B$6:$CW$6</c:f>
              <c:numCache>
                <c:formatCode>General</c:formatCode>
                <c:ptCount val="100"/>
                <c:pt idx="0">
                  <c:v>0.47</c:v>
                </c:pt>
                <c:pt idx="1">
                  <c:v>0.47</c:v>
                </c:pt>
                <c:pt idx="2">
                  <c:v>0.47</c:v>
                </c:pt>
                <c:pt idx="3">
                  <c:v>0.47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0.47</c:v>
                </c:pt>
                <c:pt idx="8">
                  <c:v>0.47</c:v>
                </c:pt>
                <c:pt idx="9">
                  <c:v>0.47</c:v>
                </c:pt>
                <c:pt idx="10">
                  <c:v>0.47</c:v>
                </c:pt>
                <c:pt idx="11">
                  <c:v>0.47</c:v>
                </c:pt>
                <c:pt idx="12">
                  <c:v>0.47</c:v>
                </c:pt>
                <c:pt idx="13">
                  <c:v>0.47</c:v>
                </c:pt>
                <c:pt idx="14">
                  <c:v>0.47</c:v>
                </c:pt>
                <c:pt idx="15">
                  <c:v>0.47</c:v>
                </c:pt>
                <c:pt idx="16">
                  <c:v>0.47</c:v>
                </c:pt>
                <c:pt idx="17">
                  <c:v>0.47</c:v>
                </c:pt>
                <c:pt idx="18">
                  <c:v>0.47</c:v>
                </c:pt>
                <c:pt idx="19">
                  <c:v>0.47</c:v>
                </c:pt>
                <c:pt idx="20">
                  <c:v>0.47</c:v>
                </c:pt>
                <c:pt idx="21">
                  <c:v>0.47</c:v>
                </c:pt>
                <c:pt idx="22">
                  <c:v>0.47</c:v>
                </c:pt>
                <c:pt idx="23">
                  <c:v>0.47</c:v>
                </c:pt>
                <c:pt idx="24">
                  <c:v>0.47</c:v>
                </c:pt>
                <c:pt idx="25">
                  <c:v>0.47</c:v>
                </c:pt>
                <c:pt idx="26">
                  <c:v>0.47</c:v>
                </c:pt>
                <c:pt idx="27">
                  <c:v>0.47</c:v>
                </c:pt>
                <c:pt idx="28">
                  <c:v>0.47</c:v>
                </c:pt>
                <c:pt idx="29">
                  <c:v>0.47</c:v>
                </c:pt>
                <c:pt idx="30">
                  <c:v>0.47</c:v>
                </c:pt>
                <c:pt idx="31">
                  <c:v>0.47</c:v>
                </c:pt>
                <c:pt idx="32">
                  <c:v>0.47</c:v>
                </c:pt>
                <c:pt idx="33">
                  <c:v>0.47</c:v>
                </c:pt>
                <c:pt idx="34">
                  <c:v>0.47</c:v>
                </c:pt>
                <c:pt idx="35">
                  <c:v>0.47</c:v>
                </c:pt>
                <c:pt idx="36">
                  <c:v>0.47</c:v>
                </c:pt>
                <c:pt idx="37">
                  <c:v>0.47</c:v>
                </c:pt>
                <c:pt idx="38">
                  <c:v>0.47</c:v>
                </c:pt>
                <c:pt idx="39">
                  <c:v>0.47</c:v>
                </c:pt>
                <c:pt idx="40">
                  <c:v>0.47</c:v>
                </c:pt>
                <c:pt idx="41">
                  <c:v>0.47</c:v>
                </c:pt>
                <c:pt idx="42">
                  <c:v>0.47</c:v>
                </c:pt>
                <c:pt idx="43">
                  <c:v>0.47</c:v>
                </c:pt>
                <c:pt idx="44">
                  <c:v>0.47</c:v>
                </c:pt>
                <c:pt idx="45">
                  <c:v>0.47</c:v>
                </c:pt>
                <c:pt idx="46">
                  <c:v>0.47</c:v>
                </c:pt>
                <c:pt idx="47">
                  <c:v>0.47</c:v>
                </c:pt>
                <c:pt idx="48">
                  <c:v>0.47</c:v>
                </c:pt>
                <c:pt idx="49">
                  <c:v>0.47</c:v>
                </c:pt>
                <c:pt idx="50">
                  <c:v>0.47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0.47</c:v>
                </c:pt>
                <c:pt idx="56">
                  <c:v>0.47</c:v>
                </c:pt>
                <c:pt idx="57">
                  <c:v>0.47</c:v>
                </c:pt>
                <c:pt idx="58">
                  <c:v>0.47</c:v>
                </c:pt>
                <c:pt idx="59">
                  <c:v>0.47</c:v>
                </c:pt>
                <c:pt idx="60">
                  <c:v>0.47</c:v>
                </c:pt>
                <c:pt idx="61">
                  <c:v>0.47</c:v>
                </c:pt>
                <c:pt idx="62">
                  <c:v>0.47</c:v>
                </c:pt>
                <c:pt idx="63">
                  <c:v>0.47</c:v>
                </c:pt>
                <c:pt idx="64">
                  <c:v>0.47</c:v>
                </c:pt>
                <c:pt idx="65">
                  <c:v>0.47</c:v>
                </c:pt>
                <c:pt idx="66">
                  <c:v>0.47</c:v>
                </c:pt>
                <c:pt idx="67">
                  <c:v>0.47</c:v>
                </c:pt>
                <c:pt idx="68">
                  <c:v>0.47</c:v>
                </c:pt>
                <c:pt idx="69">
                  <c:v>0.47</c:v>
                </c:pt>
                <c:pt idx="70">
                  <c:v>0.47</c:v>
                </c:pt>
                <c:pt idx="71">
                  <c:v>0.47</c:v>
                </c:pt>
                <c:pt idx="72">
                  <c:v>0.47</c:v>
                </c:pt>
                <c:pt idx="73">
                  <c:v>0.47</c:v>
                </c:pt>
                <c:pt idx="74">
                  <c:v>0.47</c:v>
                </c:pt>
                <c:pt idx="75">
                  <c:v>0.47</c:v>
                </c:pt>
                <c:pt idx="76">
                  <c:v>0.47</c:v>
                </c:pt>
                <c:pt idx="77">
                  <c:v>0.47</c:v>
                </c:pt>
                <c:pt idx="78">
                  <c:v>0.47</c:v>
                </c:pt>
                <c:pt idx="79">
                  <c:v>0.47</c:v>
                </c:pt>
                <c:pt idx="80">
                  <c:v>0.47</c:v>
                </c:pt>
                <c:pt idx="81">
                  <c:v>0.47</c:v>
                </c:pt>
                <c:pt idx="82">
                  <c:v>0.47</c:v>
                </c:pt>
                <c:pt idx="83">
                  <c:v>0.47</c:v>
                </c:pt>
                <c:pt idx="84">
                  <c:v>0.47</c:v>
                </c:pt>
                <c:pt idx="85">
                  <c:v>0.47</c:v>
                </c:pt>
                <c:pt idx="86">
                  <c:v>0.47</c:v>
                </c:pt>
                <c:pt idx="87">
                  <c:v>0.47</c:v>
                </c:pt>
                <c:pt idx="88">
                  <c:v>0.47</c:v>
                </c:pt>
                <c:pt idx="89">
                  <c:v>0.47</c:v>
                </c:pt>
                <c:pt idx="90">
                  <c:v>0.47</c:v>
                </c:pt>
                <c:pt idx="91">
                  <c:v>0.47</c:v>
                </c:pt>
                <c:pt idx="92">
                  <c:v>0.47</c:v>
                </c:pt>
                <c:pt idx="93">
                  <c:v>0.47</c:v>
                </c:pt>
                <c:pt idx="94">
                  <c:v>0.47</c:v>
                </c:pt>
                <c:pt idx="95">
                  <c:v>0.47</c:v>
                </c:pt>
                <c:pt idx="96">
                  <c:v>0.47</c:v>
                </c:pt>
                <c:pt idx="97">
                  <c:v>0.47</c:v>
                </c:pt>
                <c:pt idx="98">
                  <c:v>0.47</c:v>
                </c:pt>
                <c:pt idx="9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EB-4661-9081-BD2CE6FD745F}"/>
            </c:ext>
          </c:extLst>
        </c:ser>
        <c:ser>
          <c:idx val="3"/>
          <c:order val="3"/>
          <c:tx>
            <c:v>уровень</c:v>
          </c:tx>
          <c:spPr>
            <a:ln w="2540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Лист1!$B$3:$CW$3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Лист1!$B$7:$CW$7</c:f>
              <c:numCache>
                <c:formatCode>General</c:formatCode>
                <c:ptCount val="100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0.42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0.42</c:v>
                </c:pt>
                <c:pt idx="30">
                  <c:v>0.42</c:v>
                </c:pt>
                <c:pt idx="31">
                  <c:v>0.42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0.42</c:v>
                </c:pt>
                <c:pt idx="43">
                  <c:v>0.42</c:v>
                </c:pt>
                <c:pt idx="44">
                  <c:v>0.42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0.42</c:v>
                </c:pt>
                <c:pt idx="51">
                  <c:v>0.42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0.42</c:v>
                </c:pt>
                <c:pt idx="57">
                  <c:v>0.42</c:v>
                </c:pt>
                <c:pt idx="58">
                  <c:v>0.42</c:v>
                </c:pt>
                <c:pt idx="59">
                  <c:v>0.42</c:v>
                </c:pt>
                <c:pt idx="60">
                  <c:v>0.42</c:v>
                </c:pt>
                <c:pt idx="61">
                  <c:v>0.42</c:v>
                </c:pt>
                <c:pt idx="62">
                  <c:v>0.42</c:v>
                </c:pt>
                <c:pt idx="63">
                  <c:v>0.42</c:v>
                </c:pt>
                <c:pt idx="64">
                  <c:v>0.42</c:v>
                </c:pt>
                <c:pt idx="65">
                  <c:v>0.42</c:v>
                </c:pt>
                <c:pt idx="66">
                  <c:v>0.42</c:v>
                </c:pt>
                <c:pt idx="67">
                  <c:v>0.42</c:v>
                </c:pt>
                <c:pt idx="68">
                  <c:v>0.42</c:v>
                </c:pt>
                <c:pt idx="69">
                  <c:v>0.42</c:v>
                </c:pt>
                <c:pt idx="70">
                  <c:v>0.42</c:v>
                </c:pt>
                <c:pt idx="71">
                  <c:v>0.42</c:v>
                </c:pt>
                <c:pt idx="72">
                  <c:v>0.42</c:v>
                </c:pt>
                <c:pt idx="73">
                  <c:v>0.42</c:v>
                </c:pt>
                <c:pt idx="74">
                  <c:v>0.42</c:v>
                </c:pt>
                <c:pt idx="75">
                  <c:v>0.42</c:v>
                </c:pt>
                <c:pt idx="76">
                  <c:v>0.42</c:v>
                </c:pt>
                <c:pt idx="77">
                  <c:v>0.42</c:v>
                </c:pt>
                <c:pt idx="78">
                  <c:v>0.42</c:v>
                </c:pt>
                <c:pt idx="79">
                  <c:v>0.42</c:v>
                </c:pt>
                <c:pt idx="80">
                  <c:v>0.42</c:v>
                </c:pt>
                <c:pt idx="81">
                  <c:v>0.42</c:v>
                </c:pt>
                <c:pt idx="82">
                  <c:v>0.42</c:v>
                </c:pt>
                <c:pt idx="83">
                  <c:v>0.42</c:v>
                </c:pt>
                <c:pt idx="84">
                  <c:v>0.42</c:v>
                </c:pt>
                <c:pt idx="85">
                  <c:v>0.42</c:v>
                </c:pt>
                <c:pt idx="86">
                  <c:v>0.42</c:v>
                </c:pt>
                <c:pt idx="87">
                  <c:v>0.42</c:v>
                </c:pt>
                <c:pt idx="88">
                  <c:v>0.42</c:v>
                </c:pt>
                <c:pt idx="89">
                  <c:v>0.42</c:v>
                </c:pt>
                <c:pt idx="90">
                  <c:v>0.42</c:v>
                </c:pt>
                <c:pt idx="91">
                  <c:v>0.42</c:v>
                </c:pt>
                <c:pt idx="92">
                  <c:v>0.42</c:v>
                </c:pt>
                <c:pt idx="93">
                  <c:v>0.42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</c:v>
                </c:pt>
                <c:pt idx="98">
                  <c:v>0.42</c:v>
                </c:pt>
                <c:pt idx="9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EB-4661-9081-BD2CE6FD7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004319"/>
        <c:axId val="1302002879"/>
      </c:lineChart>
      <c:catAx>
        <c:axId val="130200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02879"/>
        <c:crosses val="autoZero"/>
        <c:auto val="1"/>
        <c:lblAlgn val="ctr"/>
        <c:lblOffset val="100"/>
        <c:noMultiLvlLbl val="0"/>
      </c:catAx>
      <c:valAx>
        <c:axId val="1302002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04319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900098911968347"/>
          <c:y val="0.90142812148481444"/>
          <c:w val="0.39859350296346485"/>
          <c:h val="5.7093352322359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ru-RU"/>
              <a:t>Кирпичи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'практика(18,02)'!$A$2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'практика(18,02)'!$B$2:$AJ$2</c:f>
              <c:numCache>
                <c:formatCode>General</c:formatCode>
                <c:ptCount val="35"/>
                <c:pt idx="0">
                  <c:v>60</c:v>
                </c:pt>
                <c:pt idx="1">
                  <c:v>69.5</c:v>
                </c:pt>
                <c:pt idx="2">
                  <c:v>82.474999999999994</c:v>
                </c:pt>
                <c:pt idx="3">
                  <c:v>93.413749999999993</c:v>
                </c:pt>
                <c:pt idx="4">
                  <c:v>102.42443750000001</c:v>
                </c:pt>
                <c:pt idx="5">
                  <c:v>110.06984687500001</c:v>
                </c:pt>
                <c:pt idx="6">
                  <c:v>116.73000296875001</c:v>
                </c:pt>
                <c:pt idx="7">
                  <c:v>122.62567233593751</c:v>
                </c:pt>
                <c:pt idx="8">
                  <c:v>127.88802264023438</c:v>
                </c:pt>
                <c:pt idx="9">
                  <c:v>132.60223463341796</c:v>
                </c:pt>
                <c:pt idx="10">
                  <c:v>136.83011458958106</c:v>
                </c:pt>
                <c:pt idx="11">
                  <c:v>140.62114750221147</c:v>
                </c:pt>
                <c:pt idx="12">
                  <c:v>144.01776093406767</c:v>
                </c:pt>
                <c:pt idx="13">
                  <c:v>147.05779226736865</c:v>
                </c:pt>
                <c:pt idx="14">
                  <c:v>149.7756371984413</c:v>
                </c:pt>
                <c:pt idx="15">
                  <c:v>152.20279430313127</c:v>
                </c:pt>
                <c:pt idx="16">
                  <c:v>154.36814565145156</c:v>
                </c:pt>
                <c:pt idx="17">
                  <c:v>156.29813126321073</c:v>
                </c:pt>
                <c:pt idx="18">
                  <c:v>158.01688754925931</c:v>
                </c:pt>
                <c:pt idx="19">
                  <c:v>159.54637841673153</c:v>
                </c:pt>
                <c:pt idx="20">
                  <c:v>160.90652868668946</c:v>
                </c:pt>
                <c:pt idx="21">
                  <c:v>162.11536122971484</c:v>
                </c:pt>
                <c:pt idx="22">
                  <c:v>163.18913606707915</c:v>
                </c:pt>
                <c:pt idx="23">
                  <c:v>164.14248883788051</c:v>
                </c:pt>
                <c:pt idx="24">
                  <c:v>164.98856616276049</c:v>
                </c:pt>
                <c:pt idx="25">
                  <c:v>165.7391559162939</c:v>
                </c:pt>
                <c:pt idx="26">
                  <c:v>166.40481097094093</c:v>
                </c:pt>
                <c:pt idx="27">
                  <c:v>166.9949654789032</c:v>
                </c:pt>
                <c:pt idx="28">
                  <c:v>167.51804317500654</c:v>
                </c:pt>
                <c:pt idx="29">
                  <c:v>167.98155750903848</c:v>
                </c:pt>
                <c:pt idx="30">
                  <c:v>168.39220365896648</c:v>
                </c:pt>
                <c:pt idx="31">
                  <c:v>168.75594265074562</c:v>
                </c:pt>
                <c:pt idx="32">
                  <c:v>169.07807792975785</c:v>
                </c:pt>
                <c:pt idx="33">
                  <c:v>169.36332480558076</c:v>
                </c:pt>
                <c:pt idx="34">
                  <c:v>169.61587323603561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4-4243-989D-575D85F7658C}"/>
            </c:ext>
          </c:extLst>
        </c:ser>
        <c:ser>
          <c:idx val="1"/>
          <c:order val="1"/>
          <c:tx>
            <c:strRef>
              <c:f>'практика(18,02)'!$A$3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'практика(18,02)'!$B$3:$AJ$3</c:f>
              <c:numCache>
                <c:formatCode>General</c:formatCode>
                <c:ptCount val="35"/>
                <c:pt idx="0">
                  <c:v>50</c:v>
                </c:pt>
                <c:pt idx="1">
                  <c:v>103</c:v>
                </c:pt>
                <c:pt idx="2">
                  <c:v>133.72499999999999</c:v>
                </c:pt>
                <c:pt idx="3">
                  <c:v>155.49</c:v>
                </c:pt>
                <c:pt idx="4">
                  <c:v>172.2480625</c:v>
                </c:pt>
                <c:pt idx="5">
                  <c:v>185.64833125000001</c:v>
                </c:pt>
                <c:pt idx="6">
                  <c:v>196.58848953124999</c:v>
                </c:pt>
                <c:pt idx="7">
                  <c:v>205.63832574999998</c:v>
                </c:pt>
                <c:pt idx="8">
                  <c:v>213.19246923789061</c:v>
                </c:pt>
                <c:pt idx="9">
                  <c:v>219.53995075316405</c:v>
                </c:pt>
                <c:pt idx="10">
                  <c:v>224.90083705565331</c:v>
                </c:pt>
                <c:pt idx="11">
                  <c:v>229.44734290081132</c:v>
                </c:pt>
                <c:pt idx="12">
                  <c:v>233.31685981758523</c:v>
                </c:pt>
                <c:pt idx="13">
                  <c:v>236.62049664060916</c:v>
                </c:pt>
                <c:pt idx="14">
                  <c:v>239.4489868031763</c:v>
                </c:pt>
                <c:pt idx="15">
                  <c:v>241.87696287353384</c:v>
                </c:pt>
                <c:pt idx="16">
                  <c:v>243.96616108840257</c:v>
                </c:pt>
                <c:pt idx="17">
                  <c:v>245.76788763986823</c:v>
                </c:pt>
                <c:pt idx="18">
                  <c:v>247.32495277202892</c:v>
                </c:pt>
                <c:pt idx="19">
                  <c:v>248.67320774160299</c:v>
                </c:pt>
                <c:pt idx="20">
                  <c:v>249.84277772952791</c:v>
                </c:pt>
                <c:pt idx="21">
                  <c:v>250.85905767570324</c:v>
                </c:pt>
                <c:pt idx="22">
                  <c:v>251.74352087290586</c:v>
                </c:pt>
                <c:pt idx="23">
                  <c:v>252.51437834097908</c:v>
                </c:pt>
                <c:pt idx="24">
                  <c:v>253.18711850698801</c:v>
                </c:pt>
                <c:pt idx="25">
                  <c:v>253.77495040428855</c:v>
                </c:pt>
                <c:pt idx="26">
                  <c:v>254.28916879757401</c:v>
                </c:pt>
                <c:pt idx="27">
                  <c:v>254.73945591906866</c:v>
                </c:pt>
                <c:pt idx="28">
                  <c:v>255.13413158432311</c:v>
                </c:pt>
                <c:pt idx="29">
                  <c:v>255.48036115166613</c:v>
                </c:pt>
                <c:pt idx="30">
                  <c:v>255.78432895837361</c:v>
                </c:pt>
                <c:pt idx="31">
                  <c:v>256.05138340580839</c:v>
                </c:pt>
                <c:pt idx="32">
                  <c:v>256.28615869669704</c:v>
                </c:pt>
                <c:pt idx="33">
                  <c:v>256.49267728973115</c:v>
                </c:pt>
                <c:pt idx="34">
                  <c:v>256.67443638247715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4-4243-989D-575D85F7658C}"/>
            </c:ext>
          </c:extLst>
        </c:ser>
        <c:ser>
          <c:idx val="2"/>
          <c:order val="2"/>
          <c:tx>
            <c:strRef>
              <c:f>'практика(18,02)'!$A$4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'практика(18,02)'!$B$4:$AJ$4</c:f>
              <c:numCache>
                <c:formatCode>General</c:formatCode>
                <c:ptCount val="3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4-4243-989D-575D85F7658C}"/>
            </c:ext>
          </c:extLst>
        </c:ser>
        <c:ser>
          <c:idx val="3"/>
          <c:order val="3"/>
          <c:tx>
            <c:strRef>
              <c:f>'практика(18,02)'!$A$5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'практика(18,02)'!$B$5:$AJ$5</c:f>
              <c:numCache>
                <c:formatCode>General</c:formatCode>
                <c:ptCount val="3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4-4243-989D-575D85F7658C}"/>
            </c:ext>
          </c:extLst>
        </c:ser>
        <c:ser>
          <c:idx val="4"/>
          <c:order val="4"/>
          <c:tx>
            <c:strRef>
              <c:f>'практика(18,02)'!$A$6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'практика(18,02)'!$B$6:$AJ$6</c:f>
              <c:numCache>
                <c:formatCode>General</c:formatCode>
                <c:ptCount val="35"/>
                <c:pt idx="0">
                  <c:v>30</c:v>
                </c:pt>
                <c:pt idx="1">
                  <c:v>32.5</c:v>
                </c:pt>
                <c:pt idx="2">
                  <c:v>46.774999999999999</c:v>
                </c:pt>
                <c:pt idx="3">
                  <c:v>61.548749999999998</c:v>
                </c:pt>
                <c:pt idx="4">
                  <c:v>74.677812500000002</c:v>
                </c:pt>
                <c:pt idx="5">
                  <c:v>85.899690625000005</c:v>
                </c:pt>
                <c:pt idx="6">
                  <c:v>95.366624843750003</c:v>
                </c:pt>
                <c:pt idx="7">
                  <c:v>103.3152913671875</c:v>
                </c:pt>
                <c:pt idx="8">
                  <c:v>109.98116163320312</c:v>
                </c:pt>
                <c:pt idx="9">
                  <c:v>115.57456271228514</c:v>
                </c:pt>
                <c:pt idx="10">
                  <c:v>120.27548424497557</c:v>
                </c:pt>
                <c:pt idx="11">
                  <c:v>124.23482588767143</c:v>
                </c:pt>
                <c:pt idx="12">
                  <c:v>127.57779059012213</c:v>
                </c:pt>
                <c:pt idx="13">
                  <c:v>130.4077376964176</c:v>
                </c:pt>
                <c:pt idx="14">
                  <c:v>132.80982564777094</c:v>
                </c:pt>
                <c:pt idx="15">
                  <c:v>134.85420831058337</c:v>
                </c:pt>
                <c:pt idx="16">
                  <c:v>136.5987379044067</c:v>
                </c:pt>
                <c:pt idx="17">
                  <c:v>138.09120577512132</c:v>
                </c:pt>
                <c:pt idx="18">
                  <c:v>139.37117984824468</c:v>
                </c:pt>
                <c:pt idx="19">
                  <c:v>140.47150251989243</c:v>
                </c:pt>
                <c:pt idx="20">
                  <c:v>141.41950822317574</c:v>
                </c:pt>
                <c:pt idx="21">
                  <c:v>142.23801211319039</c:v>
                </c:pt>
                <c:pt idx="22">
                  <c:v>142.9461130166917</c:v>
                </c:pt>
                <c:pt idx="23">
                  <c:v>143.55984614264591</c:v>
                </c:pt>
                <c:pt idx="24">
                  <c:v>144.0927144366764</c:v>
                </c:pt>
                <c:pt idx="25">
                  <c:v>144.55612193434365</c:v>
                </c:pt>
                <c:pt idx="26">
                  <c:v>144.95972793323548</c:v>
                </c:pt>
                <c:pt idx="27">
                  <c:v>145.31173712378015</c:v>
                </c:pt>
                <c:pt idx="28">
                  <c:v>145.61913785115104</c:v>
                </c:pt>
                <c:pt idx="29">
                  <c:v>145.88789829621356</c:v>
                </c:pt>
                <c:pt idx="30">
                  <c:v>146.12312845122497</c:v>
                </c:pt>
                <c:pt idx="31">
                  <c:v>146.32921423371144</c:v>
                </c:pt>
                <c:pt idx="32">
                  <c:v>146.50992885428789</c:v>
                </c:pt>
                <c:pt idx="33">
                  <c:v>146.66852557026775</c:v>
                </c:pt>
                <c:pt idx="34">
                  <c:v>146.80781516781542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04-4243-989D-575D85F7658C}"/>
            </c:ext>
          </c:extLst>
        </c:ser>
        <c:ser>
          <c:idx val="5"/>
          <c:order val="5"/>
          <c:tx>
            <c:strRef>
              <c:f>'практика(18,02)'!$A$7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'практика(18,02)'!$B$7:$AJ$7</c:f>
              <c:numCache>
                <c:formatCode>General</c:formatCode>
                <c:ptCount val="35"/>
                <c:pt idx="0">
                  <c:v>20</c:v>
                </c:pt>
                <c:pt idx="1">
                  <c:v>18.5</c:v>
                </c:pt>
                <c:pt idx="2">
                  <c:v>18.2</c:v>
                </c:pt>
                <c:pt idx="3">
                  <c:v>20.206250000000001</c:v>
                </c:pt>
                <c:pt idx="4">
                  <c:v>23.325125</c:v>
                </c:pt>
                <c:pt idx="5">
                  <c:v>26.697978124999999</c:v>
                </c:pt>
                <c:pt idx="6">
                  <c:v>29.899043750000001</c:v>
                </c:pt>
                <c:pt idx="7">
                  <c:v>32.759563414062498</c:v>
                </c:pt>
                <c:pt idx="8">
                  <c:v>35.239097241406249</c:v>
                </c:pt>
                <c:pt idx="9">
                  <c:v>37.35476800361328</c:v>
                </c:pt>
                <c:pt idx="10">
                  <c:v>39.145830008468749</c:v>
                </c:pt>
                <c:pt idx="11">
                  <c:v>40.656946140557274</c:v>
                </c:pt>
                <c:pt idx="12">
                  <c:v>41.930849646401491</c:v>
                </c:pt>
                <c:pt idx="13">
                  <c:v>43.005550929398993</c:v>
                </c:pt>
                <c:pt idx="14">
                  <c:v>43.913658572692185</c:v>
                </c:pt>
                <c:pt idx="15">
                  <c:v>44.682620204877125</c:v>
                </c:pt>
                <c:pt idx="16">
                  <c:v>45.335310338782215</c:v>
                </c:pt>
                <c:pt idx="17">
                  <c:v>45.890700338113</c:v>
                </c:pt>
                <c:pt idx="18">
                  <c:v>46.364496018419047</c:v>
                </c:pt>
                <c:pt idx="19">
                  <c:v>46.769700185525274</c:v>
                </c:pt>
                <c:pt idx="20">
                  <c:v>47.117090461470241</c:v>
                </c:pt>
                <c:pt idx="21">
                  <c:v>47.415616941137969</c:v>
                </c:pt>
                <c:pt idx="22">
                  <c:v>47.672729440490649</c:v>
                </c:pt>
                <c:pt idx="23">
                  <c:v>47.894645200724547</c:v>
                </c:pt>
                <c:pt idx="24">
                  <c:v>48.086567261722934</c:v>
                </c:pt>
                <c:pt idx="25">
                  <c:v>48.252862433276782</c:v>
                </c:pt>
                <c:pt idx="26">
                  <c:v>48.397206385126097</c:v>
                </c:pt>
                <c:pt idx="27">
                  <c:v>48.522702063292066</c:v>
                </c:pt>
                <c:pt idx="28">
                  <c:v>48.631976497048456</c:v>
                </c:pt>
                <c:pt idx="29">
                  <c:v>48.727260101344463</c:v>
                </c:pt>
                <c:pt idx="30">
                  <c:v>48.810451790037042</c:v>
                </c:pt>
                <c:pt idx="31">
                  <c:v>48.883172573200412</c:v>
                </c:pt>
                <c:pt idx="32">
                  <c:v>48.946809792996902</c:v>
                </c:pt>
                <c:pt idx="33">
                  <c:v>49.002553734991793</c:v>
                </c:pt>
                <c:pt idx="34">
                  <c:v>49.051428016286465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04-4243-989D-575D85F7658C}"/>
            </c:ext>
          </c:extLst>
        </c:ser>
        <c:ser>
          <c:idx val="6"/>
          <c:order val="6"/>
          <c:tx>
            <c:strRef>
              <c:f>'практика(18,02)'!$A$8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'практика(18,02)'!$B$8:$AJ$8</c:f>
              <c:numCache>
                <c:formatCode>General</c:formatCode>
                <c:ptCount val="35"/>
                <c:pt idx="0">
                  <c:v>150</c:v>
                </c:pt>
                <c:pt idx="1">
                  <c:v>140.5</c:v>
                </c:pt>
                <c:pt idx="2">
                  <c:v>135.27500000000001</c:v>
                </c:pt>
                <c:pt idx="3">
                  <c:v>133.95125000000002</c:v>
                </c:pt>
                <c:pt idx="4">
                  <c:v>135.1461875</c:v>
                </c:pt>
                <c:pt idx="5">
                  <c:v>137.84452812500001</c:v>
                </c:pt>
                <c:pt idx="6">
                  <c:v>141.39736546875002</c:v>
                </c:pt>
                <c:pt idx="7">
                  <c:v>145.39402469531251</c:v>
                </c:pt>
                <c:pt idx="8">
                  <c:v>149.5706529886719</c:v>
                </c:pt>
                <c:pt idx="9">
                  <c:v>153.75559426955078</c:v>
                </c:pt>
                <c:pt idx="10">
                  <c:v>157.83714262884669</c:v>
                </c:pt>
                <c:pt idx="11">
                  <c:v>161.74387988955124</c:v>
                </c:pt>
                <c:pt idx="12">
                  <c:v>165.43213941760573</c:v>
                </c:pt>
                <c:pt idx="13">
                  <c:v>168.87765675001782</c:v>
                </c:pt>
                <c:pt idx="14">
                  <c:v>172.06980101598708</c:v>
                </c:pt>
                <c:pt idx="15">
                  <c:v>175.00747820167857</c:v>
                </c:pt>
                <c:pt idx="16">
                  <c:v>177.69616751188516</c:v>
                </c:pt>
                <c:pt idx="17">
                  <c:v>180.14575476420418</c:v>
                </c:pt>
                <c:pt idx="18">
                  <c:v>182.36894232579527</c:v>
                </c:pt>
                <c:pt idx="19">
                  <c:v>184.38008425419832</c:v>
                </c:pt>
                <c:pt idx="20">
                  <c:v>186.19433887399504</c:v>
                </c:pt>
                <c:pt idx="21">
                  <c:v>187.82705989283417</c:v>
                </c:pt>
                <c:pt idx="22">
                  <c:v>189.29336716556858</c:v>
                </c:pt>
                <c:pt idx="23">
                  <c:v>190.60785258759228</c:v>
                </c:pt>
                <c:pt idx="24">
                  <c:v>191.78438720827032</c:v>
                </c:pt>
                <c:pt idx="25">
                  <c:v>192.83600363875485</c:v>
                </c:pt>
                <c:pt idx="26">
                  <c:v>193.77483391232491</c:v>
                </c:pt>
                <c:pt idx="27">
                  <c:v>194.61208762843188</c:v>
                </c:pt>
                <c:pt idx="28">
                  <c:v>195.35805881710456</c:v>
                </c:pt>
                <c:pt idx="29">
                  <c:v>196.02215274782972</c:v>
                </c:pt>
                <c:pt idx="30">
                  <c:v>196.61292606267997</c:v>
                </c:pt>
                <c:pt idx="31">
                  <c:v>197.13813527880328</c:v>
                </c:pt>
                <c:pt idx="32">
                  <c:v>197.60478998925157</c:v>
                </c:pt>
                <c:pt idx="33">
                  <c:v>198.01920807789026</c:v>
                </c:pt>
                <c:pt idx="34">
                  <c:v>198.38707101953383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04-4243-989D-575D85F7658C}"/>
            </c:ext>
          </c:extLst>
        </c:ser>
        <c:ser>
          <c:idx val="7"/>
          <c:order val="7"/>
          <c:tx>
            <c:strRef>
              <c:f>'практика(18,02)'!$A$9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'практика(18,02)'!$B$9:$AJ$9</c:f>
              <c:numCache>
                <c:formatCode>General</c:formatCode>
                <c:ptCount val="3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04-4243-989D-575D85F7658C}"/>
            </c:ext>
          </c:extLst>
        </c:ser>
        <c:ser>
          <c:idx val="8"/>
          <c:order val="8"/>
          <c:tx>
            <c:strRef>
              <c:f>'практика(18,02)'!$A$10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'практика(18,02)'!$B$10:$AJ$10</c:f>
              <c:numCache>
                <c:formatCode>General</c:formatCode>
                <c:ptCount val="3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04-4243-989D-575D85F7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48416"/>
        <c:axId val="127221056"/>
      </c:lineChart>
      <c:catAx>
        <c:axId val="1272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27221056"/>
        <c:crosses val="autoZero"/>
        <c:auto val="1"/>
        <c:lblAlgn val="ctr"/>
        <c:lblOffset val="100"/>
        <c:noMultiLvlLbl val="0"/>
      </c:catAx>
      <c:valAx>
        <c:axId val="127221056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2724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ru-RU"/>
              <a:t>Кирпичи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'практика(18,02)'!$A$15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'практика(18,02)'!$B$15:$AJ$15</c:f>
              <c:numCache>
                <c:formatCode>General</c:formatCode>
                <c:ptCount val="35"/>
                <c:pt idx="0">
                  <c:v>60</c:v>
                </c:pt>
                <c:pt idx="1">
                  <c:v>69.5</c:v>
                </c:pt>
                <c:pt idx="2">
                  <c:v>82.474999999999994</c:v>
                </c:pt>
                <c:pt idx="3">
                  <c:v>93.413749999999993</c:v>
                </c:pt>
                <c:pt idx="4">
                  <c:v>102.42443750000001</c:v>
                </c:pt>
                <c:pt idx="5">
                  <c:v>110.06984687500001</c:v>
                </c:pt>
                <c:pt idx="6">
                  <c:v>116.73000296875001</c:v>
                </c:pt>
                <c:pt idx="7">
                  <c:v>122.62567233593751</c:v>
                </c:pt>
                <c:pt idx="8">
                  <c:v>127.88802264023438</c:v>
                </c:pt>
                <c:pt idx="9">
                  <c:v>132.60223463341796</c:v>
                </c:pt>
                <c:pt idx="10">
                  <c:v>136.83011458958106</c:v>
                </c:pt>
                <c:pt idx="11">
                  <c:v>140.62114750221147</c:v>
                </c:pt>
                <c:pt idx="12">
                  <c:v>144.01776093406767</c:v>
                </c:pt>
                <c:pt idx="13">
                  <c:v>147.05779226736865</c:v>
                </c:pt>
                <c:pt idx="14">
                  <c:v>149.7756371984413</c:v>
                </c:pt>
                <c:pt idx="15">
                  <c:v>152.20279430313127</c:v>
                </c:pt>
                <c:pt idx="16">
                  <c:v>154.36814565145156</c:v>
                </c:pt>
                <c:pt idx="17">
                  <c:v>156.29813126321073</c:v>
                </c:pt>
                <c:pt idx="18">
                  <c:v>158.01688754925931</c:v>
                </c:pt>
                <c:pt idx="19">
                  <c:v>159.54637841673153</c:v>
                </c:pt>
                <c:pt idx="20">
                  <c:v>160.90652868668946</c:v>
                </c:pt>
                <c:pt idx="21">
                  <c:v>162.11536122971484</c:v>
                </c:pt>
                <c:pt idx="22">
                  <c:v>163.18913606707915</c:v>
                </c:pt>
                <c:pt idx="23">
                  <c:v>164.14248883788051</c:v>
                </c:pt>
                <c:pt idx="24">
                  <c:v>164.98856616276049</c:v>
                </c:pt>
                <c:pt idx="25">
                  <c:v>165.7391559162939</c:v>
                </c:pt>
                <c:pt idx="26">
                  <c:v>166.40481097094093</c:v>
                </c:pt>
                <c:pt idx="27">
                  <c:v>166.9949654789032</c:v>
                </c:pt>
                <c:pt idx="28">
                  <c:v>167.51804317500654</c:v>
                </c:pt>
                <c:pt idx="29">
                  <c:v>167.98155750903848</c:v>
                </c:pt>
                <c:pt idx="30">
                  <c:v>168.39220365896648</c:v>
                </c:pt>
                <c:pt idx="31">
                  <c:v>168.75594265074562</c:v>
                </c:pt>
                <c:pt idx="32">
                  <c:v>169.07807792975785</c:v>
                </c:pt>
                <c:pt idx="33">
                  <c:v>169.36332480558076</c:v>
                </c:pt>
                <c:pt idx="34">
                  <c:v>169.61587323603561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4-4243-989D-575D85F7658C}"/>
            </c:ext>
          </c:extLst>
        </c:ser>
        <c:ser>
          <c:idx val="1"/>
          <c:order val="1"/>
          <c:tx>
            <c:strRef>
              <c:f>'практика(18,02)'!$A$16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'практика(18,02)'!$B$16:$AJ$16</c:f>
              <c:numCache>
                <c:formatCode>General</c:formatCode>
                <c:ptCount val="35"/>
                <c:pt idx="0">
                  <c:v>50</c:v>
                </c:pt>
                <c:pt idx="1">
                  <c:v>103</c:v>
                </c:pt>
                <c:pt idx="2">
                  <c:v>133.72499999999999</c:v>
                </c:pt>
                <c:pt idx="3">
                  <c:v>155.49</c:v>
                </c:pt>
                <c:pt idx="4">
                  <c:v>172.2480625</c:v>
                </c:pt>
                <c:pt idx="5">
                  <c:v>185.64833125000001</c:v>
                </c:pt>
                <c:pt idx="6">
                  <c:v>196.58848953124999</c:v>
                </c:pt>
                <c:pt idx="7">
                  <c:v>205.63832574999998</c:v>
                </c:pt>
                <c:pt idx="8">
                  <c:v>213.19246923789061</c:v>
                </c:pt>
                <c:pt idx="9">
                  <c:v>219.53995075316405</c:v>
                </c:pt>
                <c:pt idx="10">
                  <c:v>224.90083705565331</c:v>
                </c:pt>
                <c:pt idx="11">
                  <c:v>229.44734290081132</c:v>
                </c:pt>
                <c:pt idx="12">
                  <c:v>233.31685981758523</c:v>
                </c:pt>
                <c:pt idx="13">
                  <c:v>236.62049664060916</c:v>
                </c:pt>
                <c:pt idx="14">
                  <c:v>239.4489868031763</c:v>
                </c:pt>
                <c:pt idx="15">
                  <c:v>241.87696287353384</c:v>
                </c:pt>
                <c:pt idx="16">
                  <c:v>243.96616108840257</c:v>
                </c:pt>
                <c:pt idx="17">
                  <c:v>245.76788763986823</c:v>
                </c:pt>
                <c:pt idx="18">
                  <c:v>247.32495277202892</c:v>
                </c:pt>
                <c:pt idx="19">
                  <c:v>248.67320774160299</c:v>
                </c:pt>
                <c:pt idx="20">
                  <c:v>249.84277772952791</c:v>
                </c:pt>
                <c:pt idx="21">
                  <c:v>250.85905767570324</c:v>
                </c:pt>
                <c:pt idx="22">
                  <c:v>251.74352087290586</c:v>
                </c:pt>
                <c:pt idx="23">
                  <c:v>252.51437834097908</c:v>
                </c:pt>
                <c:pt idx="24">
                  <c:v>253.18711850698801</c:v>
                </c:pt>
                <c:pt idx="25">
                  <c:v>253.77495040428855</c:v>
                </c:pt>
                <c:pt idx="26">
                  <c:v>254.28916879757401</c:v>
                </c:pt>
                <c:pt idx="27">
                  <c:v>254.73945591906866</c:v>
                </c:pt>
                <c:pt idx="28">
                  <c:v>255.13413158432311</c:v>
                </c:pt>
                <c:pt idx="29">
                  <c:v>255.48036115166613</c:v>
                </c:pt>
                <c:pt idx="30">
                  <c:v>255.78432895837361</c:v>
                </c:pt>
                <c:pt idx="31">
                  <c:v>256.05138340580839</c:v>
                </c:pt>
                <c:pt idx="32">
                  <c:v>256.28615869669704</c:v>
                </c:pt>
                <c:pt idx="33">
                  <c:v>256.49267728973115</c:v>
                </c:pt>
                <c:pt idx="34">
                  <c:v>256.67443638247715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4-4243-989D-575D85F7658C}"/>
            </c:ext>
          </c:extLst>
        </c:ser>
        <c:ser>
          <c:idx val="2"/>
          <c:order val="2"/>
          <c:tx>
            <c:strRef>
              <c:f>'практика(18,02)'!$A$17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'практика(18,02)'!$B$17:$AJ$17</c:f>
              <c:numCache>
                <c:formatCode>General</c:formatCode>
                <c:ptCount val="35"/>
                <c:pt idx="0">
                  <c:v>30</c:v>
                </c:pt>
                <c:pt idx="1">
                  <c:v>32.5</c:v>
                </c:pt>
                <c:pt idx="2">
                  <c:v>46.774999999999999</c:v>
                </c:pt>
                <c:pt idx="3">
                  <c:v>61.548749999999998</c:v>
                </c:pt>
                <c:pt idx="4">
                  <c:v>74.677812500000002</c:v>
                </c:pt>
                <c:pt idx="5">
                  <c:v>85.899690625000005</c:v>
                </c:pt>
                <c:pt idx="6">
                  <c:v>95.366624843750003</c:v>
                </c:pt>
                <c:pt idx="7">
                  <c:v>103.3152913671875</c:v>
                </c:pt>
                <c:pt idx="8">
                  <c:v>109.98116163320312</c:v>
                </c:pt>
                <c:pt idx="9">
                  <c:v>115.57456271228514</c:v>
                </c:pt>
                <c:pt idx="10">
                  <c:v>120.27548424497557</c:v>
                </c:pt>
                <c:pt idx="11">
                  <c:v>124.23482588767143</c:v>
                </c:pt>
                <c:pt idx="12">
                  <c:v>127.57779059012213</c:v>
                </c:pt>
                <c:pt idx="13">
                  <c:v>130.4077376964176</c:v>
                </c:pt>
                <c:pt idx="14">
                  <c:v>132.80982564777094</c:v>
                </c:pt>
                <c:pt idx="15">
                  <c:v>134.85420831058337</c:v>
                </c:pt>
                <c:pt idx="16">
                  <c:v>136.5987379044067</c:v>
                </c:pt>
                <c:pt idx="17">
                  <c:v>138.09120577512132</c:v>
                </c:pt>
                <c:pt idx="18">
                  <c:v>139.37117984824468</c:v>
                </c:pt>
                <c:pt idx="19">
                  <c:v>140.47150251989243</c:v>
                </c:pt>
                <c:pt idx="20">
                  <c:v>141.41950822317574</c:v>
                </c:pt>
                <c:pt idx="21">
                  <c:v>142.23801211319039</c:v>
                </c:pt>
                <c:pt idx="22">
                  <c:v>142.9461130166917</c:v>
                </c:pt>
                <c:pt idx="23">
                  <c:v>143.55984614264591</c:v>
                </c:pt>
                <c:pt idx="24">
                  <c:v>144.0927144366764</c:v>
                </c:pt>
                <c:pt idx="25">
                  <c:v>144.55612193434365</c:v>
                </c:pt>
                <c:pt idx="26">
                  <c:v>144.95972793323548</c:v>
                </c:pt>
                <c:pt idx="27">
                  <c:v>145.31173712378015</c:v>
                </c:pt>
                <c:pt idx="28">
                  <c:v>145.61913785115104</c:v>
                </c:pt>
                <c:pt idx="29">
                  <c:v>145.88789829621356</c:v>
                </c:pt>
                <c:pt idx="30">
                  <c:v>146.12312845122497</c:v>
                </c:pt>
                <c:pt idx="31">
                  <c:v>146.32921423371144</c:v>
                </c:pt>
                <c:pt idx="32">
                  <c:v>146.50992885428789</c:v>
                </c:pt>
                <c:pt idx="33">
                  <c:v>146.66852557026775</c:v>
                </c:pt>
                <c:pt idx="34">
                  <c:v>146.80781516781542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4-4243-989D-575D85F7658C}"/>
            </c:ext>
          </c:extLst>
        </c:ser>
        <c:ser>
          <c:idx val="3"/>
          <c:order val="3"/>
          <c:tx>
            <c:strRef>
              <c:f>'практика(18,02)'!$A$18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'практика(18,02)'!$B$18:$AJ$18</c:f>
              <c:numCache>
                <c:formatCode>General</c:formatCode>
                <c:ptCount val="35"/>
                <c:pt idx="0">
                  <c:v>20</c:v>
                </c:pt>
                <c:pt idx="1">
                  <c:v>18.5</c:v>
                </c:pt>
                <c:pt idx="2">
                  <c:v>18.2</c:v>
                </c:pt>
                <c:pt idx="3">
                  <c:v>20.206250000000001</c:v>
                </c:pt>
                <c:pt idx="4">
                  <c:v>23.325125</c:v>
                </c:pt>
                <c:pt idx="5">
                  <c:v>26.697978124999999</c:v>
                </c:pt>
                <c:pt idx="6">
                  <c:v>29.899043750000001</c:v>
                </c:pt>
                <c:pt idx="7">
                  <c:v>32.759563414062498</c:v>
                </c:pt>
                <c:pt idx="8">
                  <c:v>35.239097241406249</c:v>
                </c:pt>
                <c:pt idx="9">
                  <c:v>37.35476800361328</c:v>
                </c:pt>
                <c:pt idx="10">
                  <c:v>39.145830008468749</c:v>
                </c:pt>
                <c:pt idx="11">
                  <c:v>40.656946140557274</c:v>
                </c:pt>
                <c:pt idx="12">
                  <c:v>41.930849646401491</c:v>
                </c:pt>
                <c:pt idx="13">
                  <c:v>43.005550929398993</c:v>
                </c:pt>
                <c:pt idx="14">
                  <c:v>43.913658572692185</c:v>
                </c:pt>
                <c:pt idx="15">
                  <c:v>44.682620204877125</c:v>
                </c:pt>
                <c:pt idx="16">
                  <c:v>45.335310338782215</c:v>
                </c:pt>
                <c:pt idx="17">
                  <c:v>45.890700338113</c:v>
                </c:pt>
                <c:pt idx="18">
                  <c:v>46.364496018419047</c:v>
                </c:pt>
                <c:pt idx="19">
                  <c:v>46.769700185525274</c:v>
                </c:pt>
                <c:pt idx="20">
                  <c:v>47.117090461470241</c:v>
                </c:pt>
                <c:pt idx="21">
                  <c:v>47.415616941137969</c:v>
                </c:pt>
                <c:pt idx="22">
                  <c:v>47.672729440490649</c:v>
                </c:pt>
                <c:pt idx="23">
                  <c:v>47.894645200724547</c:v>
                </c:pt>
                <c:pt idx="24">
                  <c:v>48.086567261722934</c:v>
                </c:pt>
                <c:pt idx="25">
                  <c:v>48.252862433276782</c:v>
                </c:pt>
                <c:pt idx="26">
                  <c:v>48.397206385126097</c:v>
                </c:pt>
                <c:pt idx="27">
                  <c:v>48.522702063292066</c:v>
                </c:pt>
                <c:pt idx="28">
                  <c:v>48.631976497048456</c:v>
                </c:pt>
                <c:pt idx="29">
                  <c:v>48.727260101344463</c:v>
                </c:pt>
                <c:pt idx="30">
                  <c:v>48.810451790037042</c:v>
                </c:pt>
                <c:pt idx="31">
                  <c:v>48.883172573200412</c:v>
                </c:pt>
                <c:pt idx="32">
                  <c:v>48.946809792996902</c:v>
                </c:pt>
                <c:pt idx="33">
                  <c:v>49.002553734991793</c:v>
                </c:pt>
                <c:pt idx="34">
                  <c:v>49.051428016286465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4-4243-989D-575D85F7658C}"/>
            </c:ext>
          </c:extLst>
        </c:ser>
        <c:ser>
          <c:idx val="4"/>
          <c:order val="4"/>
          <c:tx>
            <c:strRef>
              <c:f>'практика(18,02)'!$A$19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'практика(18,02)'!$B$1:$AJ$1</c:f>
              <c:numCache>
                <c:formatCode>General</c:formatCode>
                <c:ptCount val="3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</c:numCache>
            </c:numRef>
          </c:cat>
          <c:val>
            <c:numRef>
              <c:f>'практика(18,02)'!$B$19:$AJ$19</c:f>
              <c:numCache>
                <c:formatCode>General</c:formatCode>
                <c:ptCount val="35"/>
                <c:pt idx="0">
                  <c:v>150</c:v>
                </c:pt>
                <c:pt idx="1">
                  <c:v>140.5</c:v>
                </c:pt>
                <c:pt idx="2">
                  <c:v>135.27500000000001</c:v>
                </c:pt>
                <c:pt idx="3">
                  <c:v>133.95125000000002</c:v>
                </c:pt>
                <c:pt idx="4">
                  <c:v>135.1461875</c:v>
                </c:pt>
                <c:pt idx="5">
                  <c:v>137.84452812500001</c:v>
                </c:pt>
                <c:pt idx="6">
                  <c:v>141.39736546875002</c:v>
                </c:pt>
                <c:pt idx="7">
                  <c:v>145.39402469531251</c:v>
                </c:pt>
                <c:pt idx="8">
                  <c:v>149.5706529886719</c:v>
                </c:pt>
                <c:pt idx="9">
                  <c:v>153.75559426955078</c:v>
                </c:pt>
                <c:pt idx="10">
                  <c:v>157.83714262884669</c:v>
                </c:pt>
                <c:pt idx="11">
                  <c:v>161.74387988955124</c:v>
                </c:pt>
                <c:pt idx="12">
                  <c:v>165.43213941760573</c:v>
                </c:pt>
                <c:pt idx="13">
                  <c:v>168.87765675001782</c:v>
                </c:pt>
                <c:pt idx="14">
                  <c:v>172.06980101598708</c:v>
                </c:pt>
                <c:pt idx="15">
                  <c:v>175.00747820167857</c:v>
                </c:pt>
                <c:pt idx="16">
                  <c:v>177.69616751188516</c:v>
                </c:pt>
                <c:pt idx="17">
                  <c:v>180.14575476420418</c:v>
                </c:pt>
                <c:pt idx="18">
                  <c:v>182.36894232579527</c:v>
                </c:pt>
                <c:pt idx="19">
                  <c:v>184.38008425419832</c:v>
                </c:pt>
                <c:pt idx="20">
                  <c:v>186.19433887399504</c:v>
                </c:pt>
                <c:pt idx="21">
                  <c:v>187.82705989283417</c:v>
                </c:pt>
                <c:pt idx="22">
                  <c:v>189.29336716556858</c:v>
                </c:pt>
                <c:pt idx="23">
                  <c:v>190.60785258759228</c:v>
                </c:pt>
                <c:pt idx="24">
                  <c:v>191.78438720827032</c:v>
                </c:pt>
                <c:pt idx="25">
                  <c:v>192.83600363875485</c:v>
                </c:pt>
                <c:pt idx="26">
                  <c:v>193.77483391232491</c:v>
                </c:pt>
                <c:pt idx="27">
                  <c:v>194.61208762843188</c:v>
                </c:pt>
                <c:pt idx="28">
                  <c:v>195.35805881710456</c:v>
                </c:pt>
                <c:pt idx="29">
                  <c:v>196.02215274782972</c:v>
                </c:pt>
                <c:pt idx="30">
                  <c:v>196.61292606267997</c:v>
                </c:pt>
                <c:pt idx="31">
                  <c:v>197.13813527880328</c:v>
                </c:pt>
                <c:pt idx="32">
                  <c:v>197.60478998925157</c:v>
                </c:pt>
                <c:pt idx="33">
                  <c:v>198.01920807789026</c:v>
                </c:pt>
                <c:pt idx="34">
                  <c:v>198.38707101953383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04-4243-989D-575D85F7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48416"/>
        <c:axId val="127221056"/>
      </c:lineChart>
      <c:catAx>
        <c:axId val="1272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27221056"/>
        <c:crosses val="autoZero"/>
        <c:auto val="1"/>
        <c:lblAlgn val="ctr"/>
        <c:lblOffset val="100"/>
        <c:noMultiLvlLbl val="0"/>
      </c:catAx>
      <c:valAx>
        <c:axId val="127221056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2724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'29,01модельЛинейная'!$B$2:$B$12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</c:numCache>
            </c:numRef>
          </c:xVal>
          <c:yVal>
            <c:numRef>
              <c:f>'29,01модельЛинейная'!$C$2:$C$12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D-499B-8F8D-3C05F6C566AC}"/>
            </c:ext>
          </c:extLst>
        </c:ser>
        <c:ser>
          <c:idx val="1"/>
          <c:order val="1"/>
          <c:tx>
            <c:v>теор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'29,01модельЛинейная'!$C$24:$C$50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'29,01модельЛинейная'!$D$24:$D$50</c:f>
              <c:numCache>
                <c:formatCode>General</c:formatCode>
                <c:ptCount val="27"/>
                <c:pt idx="0">
                  <c:v>2.9681232091690544</c:v>
                </c:pt>
                <c:pt idx="1">
                  <c:v>3.147743553008596</c:v>
                </c:pt>
                <c:pt idx="2">
                  <c:v>3.3273638968481376</c:v>
                </c:pt>
                <c:pt idx="3">
                  <c:v>3.5069842406876788</c:v>
                </c:pt>
                <c:pt idx="4">
                  <c:v>3.6866045845272204</c:v>
                </c:pt>
                <c:pt idx="5">
                  <c:v>3.866224928366762</c:v>
                </c:pt>
                <c:pt idx="6">
                  <c:v>4.0458452722063036</c:v>
                </c:pt>
                <c:pt idx="7">
                  <c:v>4.2254656160458453</c:v>
                </c:pt>
                <c:pt idx="8">
                  <c:v>4.4050859598853869</c:v>
                </c:pt>
                <c:pt idx="9">
                  <c:v>4.5847063037249285</c:v>
                </c:pt>
                <c:pt idx="10">
                  <c:v>4.7643266475644701</c:v>
                </c:pt>
                <c:pt idx="11">
                  <c:v>4.9439469914040117</c:v>
                </c:pt>
                <c:pt idx="12">
                  <c:v>5.1235673352435533</c:v>
                </c:pt>
                <c:pt idx="13">
                  <c:v>5.303187679083095</c:v>
                </c:pt>
                <c:pt idx="14">
                  <c:v>5.4828080229226357</c:v>
                </c:pt>
                <c:pt idx="15">
                  <c:v>5.6624283667621773</c:v>
                </c:pt>
                <c:pt idx="16">
                  <c:v>5.8420487106017189</c:v>
                </c:pt>
                <c:pt idx="17">
                  <c:v>6.0216690544412605</c:v>
                </c:pt>
                <c:pt idx="18">
                  <c:v>6.2012893982808022</c:v>
                </c:pt>
                <c:pt idx="19">
                  <c:v>6.3809097421203429</c:v>
                </c:pt>
                <c:pt idx="20">
                  <c:v>6.5605300859598845</c:v>
                </c:pt>
                <c:pt idx="21">
                  <c:v>6.7401504297994261</c:v>
                </c:pt>
                <c:pt idx="22">
                  <c:v>6.9197707736389678</c:v>
                </c:pt>
                <c:pt idx="23">
                  <c:v>7.0993911174785094</c:v>
                </c:pt>
                <c:pt idx="24">
                  <c:v>7.279011461318051</c:v>
                </c:pt>
                <c:pt idx="25">
                  <c:v>7.4586318051575926</c:v>
                </c:pt>
                <c:pt idx="26">
                  <c:v>7.6382521489971342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9D-499B-8F8D-3C05F6C566AC}"/>
            </c:ext>
          </c:extLst>
        </c:ser>
        <c:ser>
          <c:idx val="2"/>
          <c:order val="2"/>
          <c:spPr>
            <a:ln w="158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'29,01модельЛинейная'!$C$24:$C$50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'29,01модельЛинейная'!$E$24:$E$50</c:f>
              <c:numCache>
                <c:formatCode>General</c:formatCode>
                <c:ptCount val="27"/>
                <c:pt idx="0">
                  <c:v>4.1735684122105763</c:v>
                </c:pt>
                <c:pt idx="1">
                  <c:v>4.3531887560501179</c:v>
                </c:pt>
                <c:pt idx="2">
                  <c:v>4.5328090998896595</c:v>
                </c:pt>
                <c:pt idx="3">
                  <c:v>4.7124294437292011</c:v>
                </c:pt>
                <c:pt idx="4">
                  <c:v>4.8920497875687428</c:v>
                </c:pt>
                <c:pt idx="5">
                  <c:v>5.0716701314082844</c:v>
                </c:pt>
                <c:pt idx="6">
                  <c:v>5.251290475247826</c:v>
                </c:pt>
                <c:pt idx="7">
                  <c:v>5.4309108190873676</c:v>
                </c:pt>
                <c:pt idx="8">
                  <c:v>5.6105311629269092</c:v>
                </c:pt>
                <c:pt idx="9">
                  <c:v>5.7901515067664509</c:v>
                </c:pt>
                <c:pt idx="10">
                  <c:v>5.9697718506059925</c:v>
                </c:pt>
                <c:pt idx="11">
                  <c:v>6.1493921944455341</c:v>
                </c:pt>
                <c:pt idx="12">
                  <c:v>6.3290125382850757</c:v>
                </c:pt>
                <c:pt idx="13">
                  <c:v>6.5086328821246173</c:v>
                </c:pt>
                <c:pt idx="14">
                  <c:v>6.6882532259641581</c:v>
                </c:pt>
                <c:pt idx="15">
                  <c:v>6.8678735698036997</c:v>
                </c:pt>
                <c:pt idx="16">
                  <c:v>7.0474939136432413</c:v>
                </c:pt>
                <c:pt idx="17">
                  <c:v>7.2271142574827829</c:v>
                </c:pt>
                <c:pt idx="18">
                  <c:v>7.4067346013223245</c:v>
                </c:pt>
                <c:pt idx="19">
                  <c:v>7.5863549451618653</c:v>
                </c:pt>
                <c:pt idx="20">
                  <c:v>7.7659752890014069</c:v>
                </c:pt>
                <c:pt idx="21">
                  <c:v>7.9455956328409485</c:v>
                </c:pt>
                <c:pt idx="22">
                  <c:v>8.1252159766804901</c:v>
                </c:pt>
                <c:pt idx="23">
                  <c:v>8.3048363205200317</c:v>
                </c:pt>
                <c:pt idx="24">
                  <c:v>8.4844566643595734</c:v>
                </c:pt>
                <c:pt idx="25">
                  <c:v>8.664077008199115</c:v>
                </c:pt>
                <c:pt idx="26">
                  <c:v>8.8436973520386566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9D-499B-8F8D-3C05F6C566A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'29,01модельЛинейная'!$C$24:$C$50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'29,01модельЛинейная'!$F$24:$F$50</c:f>
              <c:numCache>
                <c:formatCode>General</c:formatCode>
                <c:ptCount val="27"/>
                <c:pt idx="0">
                  <c:v>1.7626780061275322</c:v>
                </c:pt>
                <c:pt idx="1">
                  <c:v>1.9422983499670738</c:v>
                </c:pt>
                <c:pt idx="2">
                  <c:v>2.1219186938066157</c:v>
                </c:pt>
                <c:pt idx="3">
                  <c:v>2.3015390376461564</c:v>
                </c:pt>
                <c:pt idx="4">
                  <c:v>2.481159381485698</c:v>
                </c:pt>
                <c:pt idx="5">
                  <c:v>2.6607797253252397</c:v>
                </c:pt>
                <c:pt idx="6">
                  <c:v>2.8404000691647813</c:v>
                </c:pt>
                <c:pt idx="7">
                  <c:v>3.0200204130043229</c:v>
                </c:pt>
                <c:pt idx="8">
                  <c:v>3.1996407568438645</c:v>
                </c:pt>
                <c:pt idx="9">
                  <c:v>3.3792611006834061</c:v>
                </c:pt>
                <c:pt idx="10">
                  <c:v>3.5588814445229477</c:v>
                </c:pt>
                <c:pt idx="11">
                  <c:v>3.7385017883624894</c:v>
                </c:pt>
                <c:pt idx="12">
                  <c:v>3.918122132202031</c:v>
                </c:pt>
                <c:pt idx="13">
                  <c:v>4.0977424760415726</c:v>
                </c:pt>
                <c:pt idx="14">
                  <c:v>4.2773628198811133</c:v>
                </c:pt>
                <c:pt idx="15">
                  <c:v>4.456983163720655</c:v>
                </c:pt>
                <c:pt idx="16">
                  <c:v>4.6366035075601966</c:v>
                </c:pt>
                <c:pt idx="17">
                  <c:v>4.8162238513997382</c:v>
                </c:pt>
                <c:pt idx="18">
                  <c:v>4.9958441952392798</c:v>
                </c:pt>
                <c:pt idx="19">
                  <c:v>5.1754645390788205</c:v>
                </c:pt>
                <c:pt idx="20">
                  <c:v>5.3550848829183622</c:v>
                </c:pt>
                <c:pt idx="21">
                  <c:v>5.5347052267579038</c:v>
                </c:pt>
                <c:pt idx="22">
                  <c:v>5.7143255705974454</c:v>
                </c:pt>
                <c:pt idx="23">
                  <c:v>5.893945914436987</c:v>
                </c:pt>
                <c:pt idx="24">
                  <c:v>6.0735662582765286</c:v>
                </c:pt>
                <c:pt idx="25">
                  <c:v>6.2531866021160702</c:v>
                </c:pt>
                <c:pt idx="26">
                  <c:v>6.4328069459556119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9D-499B-8F8D-3C05F6C56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31439"/>
        <c:axId val="1566252079"/>
      </c:scatterChart>
      <c:valAx>
        <c:axId val="156623143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52079"/>
        <c:crosses val="autoZero"/>
        <c:crossBetween val="midCat"/>
      </c:valAx>
      <c:valAx>
        <c:axId val="15662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23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ru-RU"/>
              <a:t>График второго порядка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эксп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4">
                    <a:lumMod val="75000"/>
                    <a:alpha val="99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688622489604529"/>
                  <c:y val="-6.3620674050702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41275" cap="rnd">
                <a:solidFill>
                  <a:schemeClr val="tx1"/>
                </a:solidFill>
                <a:prstDash val="dash"/>
                <a:bevel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0"/>
            <c:dispEq val="1"/>
            <c:trendlineLbl>
              <c:layout>
                <c:manualLayout>
                  <c:x val="0.20444228179342749"/>
                  <c:y val="4.40595341753505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'30,01модельКривая'!$B$2:$B$12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</c:numCache>
            </c:numRef>
          </c:xVal>
          <c:yVal>
            <c:numRef>
              <c:f>'30,01модельКривая'!$C$2:$C$12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38-4C1E-ABFC-28E548F82A0B}"/>
            </c:ext>
          </c:extLst>
        </c:ser>
        <c:ser>
          <c:idx val="1"/>
          <c:order val="1"/>
          <c:tx>
            <c:v>теор</c:v>
          </c:tx>
          <c:spPr>
            <a:ln w="476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'30,01модельКривая'!$B$2:$B$13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</c:numCache>
            </c:numRef>
          </c:xVal>
          <c:yVal>
            <c:numRef>
              <c:f>'30,01модельКривая'!$I$2:$I$13</c:f>
              <c:numCache>
                <c:formatCode>General</c:formatCode>
                <c:ptCount val="12"/>
                <c:pt idx="0">
                  <c:v>2.9022781977231151</c:v>
                </c:pt>
                <c:pt idx="1">
                  <c:v>3.232419424010518</c:v>
                </c:pt>
                <c:pt idx="2">
                  <c:v>3.8451115507743898</c:v>
                </c:pt>
                <c:pt idx="3">
                  <c:v>4.3943499097903471</c:v>
                </c:pt>
                <c:pt idx="4">
                  <c:v>4.8801345010583921</c:v>
                </c:pt>
                <c:pt idx="5">
                  <c:v>5.4898355734331199</c:v>
                </c:pt>
                <c:pt idx="6">
                  <c:v>5.956765668375045</c:v>
                </c:pt>
                <c:pt idx="7">
                  <c:v>6.1887351886514352</c:v>
                </c:pt>
                <c:pt idx="8">
                  <c:v>6.1887351886514352</c:v>
                </c:pt>
                <c:pt idx="9">
                  <c:v>6.4177136545386837</c:v>
                </c:pt>
                <c:pt idx="10">
                  <c:v>6.5039211429931267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38-4C1E-ABFC-28E548F82A0B}"/>
            </c:ext>
          </c:extLst>
        </c:ser>
        <c:ser>
          <c:idx val="2"/>
          <c:order val="2"/>
          <c:tx>
            <c:v>yT+q</c:v>
          </c:tx>
          <c:spPr>
            <a:ln w="158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'30,01модельКривая'!$A$24:$A$55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'30,01модельКривая'!$C$24:$C$55</c:f>
              <c:numCache>
                <c:formatCode>General</c:formatCode>
                <c:ptCount val="32"/>
                <c:pt idx="0">
                  <c:v>3.4194705925066002</c:v>
                </c:pt>
                <c:pt idx="1">
                  <c:v>3.7813387026679601</c:v>
                </c:pt>
                <c:pt idx="2">
                  <c:v>4.1273433708923415</c:v>
                </c:pt>
                <c:pt idx="3">
                  <c:v>4.4574845971797448</c:v>
                </c:pt>
                <c:pt idx="4">
                  <c:v>4.7717623815301691</c:v>
                </c:pt>
                <c:pt idx="5">
                  <c:v>5.0701767239436162</c:v>
                </c:pt>
                <c:pt idx="6">
                  <c:v>5.3527276244200834</c:v>
                </c:pt>
                <c:pt idx="7">
                  <c:v>5.6194150829595735</c:v>
                </c:pt>
                <c:pt idx="8">
                  <c:v>5.8702390995620846</c:v>
                </c:pt>
                <c:pt idx="9">
                  <c:v>6.1051996742276184</c:v>
                </c:pt>
                <c:pt idx="10">
                  <c:v>6.3242968069561725</c:v>
                </c:pt>
                <c:pt idx="11">
                  <c:v>6.5275304977477493</c:v>
                </c:pt>
                <c:pt idx="12">
                  <c:v>6.7149007466023463</c:v>
                </c:pt>
                <c:pt idx="13">
                  <c:v>6.8864075535199669</c:v>
                </c:pt>
                <c:pt idx="14">
                  <c:v>7.0420509185006077</c:v>
                </c:pt>
                <c:pt idx="15">
                  <c:v>7.1818308415442713</c:v>
                </c:pt>
                <c:pt idx="16">
                  <c:v>7.3057473226509551</c:v>
                </c:pt>
                <c:pt idx="17">
                  <c:v>7.4138003618206616</c:v>
                </c:pt>
                <c:pt idx="18">
                  <c:v>7.5059899590533901</c:v>
                </c:pt>
                <c:pt idx="19">
                  <c:v>7.5823161143491395</c:v>
                </c:pt>
                <c:pt idx="20">
                  <c:v>7.6427788277079101</c:v>
                </c:pt>
                <c:pt idx="21">
                  <c:v>7.6873780991297043</c:v>
                </c:pt>
                <c:pt idx="22">
                  <c:v>7.7161139286145177</c:v>
                </c:pt>
                <c:pt idx="23">
                  <c:v>7.7289863161623531</c:v>
                </c:pt>
                <c:pt idx="24">
                  <c:v>7.7259952617732122</c:v>
                </c:pt>
                <c:pt idx="25">
                  <c:v>7.7071407654470923</c:v>
                </c:pt>
                <c:pt idx="26">
                  <c:v>7.6724228271839925</c:v>
                </c:pt>
                <c:pt idx="27">
                  <c:v>7.6218414469839146</c:v>
                </c:pt>
                <c:pt idx="28">
                  <c:v>7.5553966248468596</c:v>
                </c:pt>
                <c:pt idx="29">
                  <c:v>7.4730883607728273</c:v>
                </c:pt>
                <c:pt idx="30">
                  <c:v>7.3749166547618143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38-4C1E-ABFC-28E548F82A0B}"/>
            </c:ext>
          </c:extLst>
        </c:ser>
        <c:ser>
          <c:idx val="3"/>
          <c:order val="3"/>
          <c:tx>
            <c:v>yT-q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'30,01модельКривая'!$A$24:$A$55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'30,01модельКривая'!$D$24:$D$55</c:f>
              <c:numCache>
                <c:formatCode>General</c:formatCode>
                <c:ptCount val="32"/>
                <c:pt idx="0">
                  <c:v>0.96934024616814751</c:v>
                </c:pt>
                <c:pt idx="1">
                  <c:v>1.3312083563295074</c:v>
                </c:pt>
                <c:pt idx="2">
                  <c:v>1.6772130245538888</c:v>
                </c:pt>
                <c:pt idx="3">
                  <c:v>2.0073542508412916</c:v>
                </c:pt>
                <c:pt idx="4">
                  <c:v>2.3216320351917163</c:v>
                </c:pt>
                <c:pt idx="5">
                  <c:v>2.6200463776051635</c:v>
                </c:pt>
                <c:pt idx="6">
                  <c:v>2.9025972780816307</c:v>
                </c:pt>
                <c:pt idx="7">
                  <c:v>3.1692847366211208</c:v>
                </c:pt>
                <c:pt idx="8">
                  <c:v>3.4201087532236318</c:v>
                </c:pt>
                <c:pt idx="9">
                  <c:v>3.6550693278891657</c:v>
                </c:pt>
                <c:pt idx="10">
                  <c:v>3.8741664606177197</c:v>
                </c:pt>
                <c:pt idx="11">
                  <c:v>4.0774001514092966</c:v>
                </c:pt>
                <c:pt idx="12">
                  <c:v>4.2647704002638935</c:v>
                </c:pt>
                <c:pt idx="13">
                  <c:v>4.4362772071815142</c:v>
                </c:pt>
                <c:pt idx="14">
                  <c:v>4.591920572162155</c:v>
                </c:pt>
                <c:pt idx="15">
                  <c:v>4.7317004952058186</c:v>
                </c:pt>
                <c:pt idx="16">
                  <c:v>4.8556169763125023</c:v>
                </c:pt>
                <c:pt idx="17">
                  <c:v>4.9636700154822089</c:v>
                </c:pt>
                <c:pt idx="18">
                  <c:v>5.0558596127149373</c:v>
                </c:pt>
                <c:pt idx="19">
                  <c:v>5.1321857680106868</c:v>
                </c:pt>
                <c:pt idx="20">
                  <c:v>5.1926484813694573</c:v>
                </c:pt>
                <c:pt idx="21">
                  <c:v>5.2372477527912515</c:v>
                </c:pt>
                <c:pt idx="22">
                  <c:v>5.265983582276065</c:v>
                </c:pt>
                <c:pt idx="23">
                  <c:v>5.2788559698239004</c:v>
                </c:pt>
                <c:pt idx="24">
                  <c:v>5.2758649154347594</c:v>
                </c:pt>
                <c:pt idx="25">
                  <c:v>5.2570104191086395</c:v>
                </c:pt>
                <c:pt idx="26">
                  <c:v>5.2222924808455398</c:v>
                </c:pt>
                <c:pt idx="27">
                  <c:v>5.1717111006454619</c:v>
                </c:pt>
                <c:pt idx="28">
                  <c:v>5.1052662785084069</c:v>
                </c:pt>
                <c:pt idx="29">
                  <c:v>5.0229580144343746</c:v>
                </c:pt>
                <c:pt idx="30">
                  <c:v>4.9247863084233616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38-4C1E-ABFC-28E548F82A0B}"/>
            </c:ext>
          </c:extLst>
        </c:ser>
        <c:ser>
          <c:idx val="4"/>
          <c:order val="4"/>
          <c:tx>
            <c:v>yT+2q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'30,01модельКривая'!$A$24:$A$56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'30,01модельКривая'!$E$24:$E$56</c:f>
              <c:numCache>
                <c:formatCode>General</c:formatCode>
                <c:ptCount val="33"/>
                <c:pt idx="0">
                  <c:v>4.6445357656758262</c:v>
                </c:pt>
                <c:pt idx="1">
                  <c:v>5.0064038758371865</c:v>
                </c:pt>
                <c:pt idx="2">
                  <c:v>5.3524085440615679</c:v>
                </c:pt>
                <c:pt idx="3">
                  <c:v>5.6825497703489702</c:v>
                </c:pt>
                <c:pt idx="4">
                  <c:v>5.9968275546993954</c:v>
                </c:pt>
                <c:pt idx="5">
                  <c:v>6.2952418971128425</c:v>
                </c:pt>
                <c:pt idx="6">
                  <c:v>6.5777927975893098</c:v>
                </c:pt>
                <c:pt idx="7">
                  <c:v>6.8444802561287998</c:v>
                </c:pt>
                <c:pt idx="8">
                  <c:v>7.0953042727313109</c:v>
                </c:pt>
                <c:pt idx="9">
                  <c:v>7.3302648473968448</c:v>
                </c:pt>
                <c:pt idx="10">
                  <c:v>7.5493619801253988</c:v>
                </c:pt>
                <c:pt idx="11">
                  <c:v>7.7525956709169757</c:v>
                </c:pt>
                <c:pt idx="12">
                  <c:v>7.9399659197715726</c:v>
                </c:pt>
                <c:pt idx="13">
                  <c:v>8.1114727266891933</c:v>
                </c:pt>
                <c:pt idx="14">
                  <c:v>8.2671160916698341</c:v>
                </c:pt>
                <c:pt idx="15">
                  <c:v>8.4068960147134977</c:v>
                </c:pt>
                <c:pt idx="16">
                  <c:v>8.5308124958201823</c:v>
                </c:pt>
                <c:pt idx="17">
                  <c:v>8.638865534989888</c:v>
                </c:pt>
                <c:pt idx="18">
                  <c:v>8.7310551322226164</c:v>
                </c:pt>
                <c:pt idx="19">
                  <c:v>8.8073812875183659</c:v>
                </c:pt>
                <c:pt idx="20">
                  <c:v>8.8678440008771364</c:v>
                </c:pt>
                <c:pt idx="21">
                  <c:v>8.9124432722989297</c:v>
                </c:pt>
                <c:pt idx="22">
                  <c:v>8.9411791017837441</c:v>
                </c:pt>
                <c:pt idx="23">
                  <c:v>8.9540514893315795</c:v>
                </c:pt>
                <c:pt idx="24">
                  <c:v>8.9510604349424376</c:v>
                </c:pt>
                <c:pt idx="25">
                  <c:v>8.9322059386163186</c:v>
                </c:pt>
                <c:pt idx="26">
                  <c:v>8.8974880003532189</c:v>
                </c:pt>
                <c:pt idx="27">
                  <c:v>8.8469066201531419</c:v>
                </c:pt>
                <c:pt idx="28">
                  <c:v>8.780461798016086</c:v>
                </c:pt>
                <c:pt idx="29">
                  <c:v>8.6981535339420546</c:v>
                </c:pt>
                <c:pt idx="30">
                  <c:v>8.5999818279310407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38-4C1E-ABFC-28E548F82A0B}"/>
            </c:ext>
          </c:extLst>
        </c:ser>
        <c:ser>
          <c:idx val="5"/>
          <c:order val="5"/>
          <c:tx>
            <c:v>yT-2q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'30,01модельКривая'!$A$24:$A$55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'30,01модельКривая'!$F$24:$F$55</c:f>
              <c:numCache>
                <c:formatCode>General</c:formatCode>
                <c:ptCount val="32"/>
                <c:pt idx="0">
                  <c:v>-0.25572492700107885</c:v>
                </c:pt>
                <c:pt idx="1">
                  <c:v>0.10614318316028104</c:v>
                </c:pt>
                <c:pt idx="2">
                  <c:v>0.4521478513846624</c:v>
                </c:pt>
                <c:pt idx="3">
                  <c:v>0.78228907767206524</c:v>
                </c:pt>
                <c:pt idx="4">
                  <c:v>1.09656686202249</c:v>
                </c:pt>
                <c:pt idx="5">
                  <c:v>1.3949812044359371</c:v>
                </c:pt>
                <c:pt idx="6">
                  <c:v>1.6775321049124043</c:v>
                </c:pt>
                <c:pt idx="7">
                  <c:v>1.9442195634518944</c:v>
                </c:pt>
                <c:pt idx="8">
                  <c:v>2.1950435800544055</c:v>
                </c:pt>
                <c:pt idx="9">
                  <c:v>2.4300041547199394</c:v>
                </c:pt>
                <c:pt idx="10">
                  <c:v>2.6491012874484934</c:v>
                </c:pt>
                <c:pt idx="11">
                  <c:v>2.8523349782400702</c:v>
                </c:pt>
                <c:pt idx="12">
                  <c:v>3.0397052270946672</c:v>
                </c:pt>
                <c:pt idx="13">
                  <c:v>3.2112120340122878</c:v>
                </c:pt>
                <c:pt idx="14">
                  <c:v>3.3668553989929286</c:v>
                </c:pt>
                <c:pt idx="15">
                  <c:v>3.5066353220365922</c:v>
                </c:pt>
                <c:pt idx="16">
                  <c:v>3.630551803143276</c:v>
                </c:pt>
                <c:pt idx="17">
                  <c:v>3.7386048423129825</c:v>
                </c:pt>
                <c:pt idx="18">
                  <c:v>3.830794439545711</c:v>
                </c:pt>
                <c:pt idx="19">
                  <c:v>3.9071205948414605</c:v>
                </c:pt>
                <c:pt idx="20">
                  <c:v>3.967583308200231</c:v>
                </c:pt>
                <c:pt idx="21">
                  <c:v>4.0121825796220252</c:v>
                </c:pt>
                <c:pt idx="22">
                  <c:v>4.0409184091068386</c:v>
                </c:pt>
                <c:pt idx="23">
                  <c:v>4.053790796654674</c:v>
                </c:pt>
                <c:pt idx="24">
                  <c:v>4.0507997422655331</c:v>
                </c:pt>
                <c:pt idx="25">
                  <c:v>4.0319452459394132</c:v>
                </c:pt>
                <c:pt idx="26">
                  <c:v>3.9972273076763134</c:v>
                </c:pt>
                <c:pt idx="27">
                  <c:v>3.9466459274762355</c:v>
                </c:pt>
                <c:pt idx="28">
                  <c:v>3.8802011053391805</c:v>
                </c:pt>
                <c:pt idx="29">
                  <c:v>3.7978928412651483</c:v>
                </c:pt>
                <c:pt idx="30">
                  <c:v>3.6997211352541353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B38-4C1E-ABFC-28E548F8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31439"/>
        <c:axId val="1566252079"/>
      </c:scatterChart>
      <c:valAx>
        <c:axId val="156623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66252079"/>
        <c:crosses val="autoZero"/>
        <c:crossBetween val="midCat"/>
      </c:valAx>
      <c:valAx>
        <c:axId val="15662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6623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ysClr val="windowText" lastClr="000000"/>
          </a:solidFill>
          <a:latin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285294</xdr:colOff>
      <xdr:row>0</xdr:row>
      <xdr:rowOff>40105</xdr:rowOff>
    </xdr:from>
    <xdr:to>
      <xdr:col>41</xdr:col>
      <xdr:colOff>33834</xdr:colOff>
      <xdr:row>23</xdr:row>
      <xdr:rowOff>83449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782B72-6D0D-4BCD-8744-68945347E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152400</xdr:colOff>
      <xdr:row>23</xdr:row>
      <xdr:rowOff>96982</xdr:rowOff>
    </xdr:from>
    <xdr:to>
      <xdr:col>38</xdr:col>
      <xdr:colOff>510540</xdr:colOff>
      <xdr:row>48</xdr:row>
      <xdr:rowOff>57199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C3BC494-766E-B574-0736-67E403A4A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609964</xdr:colOff>
      <xdr:row>0</xdr:row>
      <xdr:rowOff>10026</xdr:rowOff>
    </xdr:from>
    <xdr:to>
      <xdr:col>50</xdr:col>
      <xdr:colOff>358505</xdr:colOff>
      <xdr:row>23</xdr:row>
      <xdr:rowOff>53370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BD484ED-9747-3436-C3E2-F9110B56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0</xdr:row>
      <xdr:rowOff>0</xdr:rowOff>
    </xdr:from>
    <xdr:to>
      <xdr:col>10</xdr:col>
      <xdr:colOff>510540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F7BB67-95E0-B582-D55D-5AA12B4A1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23</xdr:row>
      <xdr:rowOff>118110</xdr:rowOff>
    </xdr:from>
    <xdr:to>
      <xdr:col>34</xdr:col>
      <xdr:colOff>266700</xdr:colOff>
      <xdr:row>38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C4AD54-45F5-DF68-FF31-96A9D7E08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223751</xdr:colOff>
      <xdr:row>20</xdr:row>
      <xdr:rowOff>97675</xdr:rowOff>
    </xdr:from>
    <xdr:to>
      <xdr:col>16</xdr:col>
      <xdr:colOff>467591</xdr:colOff>
      <xdr:row>39</xdr:row>
      <xdr:rowOff>112914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EEF87A7-53C1-43BE-82C1-2151703D9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259080</xdr:colOff>
      <xdr:row>39</xdr:row>
      <xdr:rowOff>152399</xdr:rowOff>
    </xdr:from>
    <xdr:to>
      <xdr:col>16</xdr:col>
      <xdr:colOff>502920</xdr:colOff>
      <xdr:row>61</xdr:row>
      <xdr:rowOff>62752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8B1A221-14F2-535A-BCAB-CDF765630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</xdr:colOff>
      <xdr:row>39</xdr:row>
      <xdr:rowOff>121920</xdr:rowOff>
    </xdr:from>
    <xdr:to>
      <xdr:col>35</xdr:col>
      <xdr:colOff>207818</xdr:colOff>
      <xdr:row>79</xdr:row>
      <xdr:rowOff>41564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9BCE49D-97FC-49EF-85B2-2CBD2A7D8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198120</xdr:colOff>
      <xdr:row>10</xdr:row>
      <xdr:rowOff>102870</xdr:rowOff>
    </xdr:from>
    <xdr:to>
      <xdr:col>57</xdr:col>
      <xdr:colOff>236220</xdr:colOff>
      <xdr:row>31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85796E-B35E-BAF2-9D1C-C8B0B9DA0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5</xdr:row>
      <xdr:rowOff>148590</xdr:rowOff>
    </xdr:from>
    <xdr:to>
      <xdr:col>15</xdr:col>
      <xdr:colOff>228600</xdr:colOff>
      <xdr:row>20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359733-B016-F92E-7876-1A30A9E5E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198120</xdr:colOff>
      <xdr:row>10</xdr:row>
      <xdr:rowOff>102870</xdr:rowOff>
    </xdr:from>
    <xdr:to>
      <xdr:col>57</xdr:col>
      <xdr:colOff>236220</xdr:colOff>
      <xdr:row>31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A94BC7-7488-457B-A510-97DEAD119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438912</xdr:colOff>
      <xdr:row>14</xdr:row>
      <xdr:rowOff>112776</xdr:rowOff>
    </xdr:from>
    <xdr:to>
      <xdr:col>10</xdr:col>
      <xdr:colOff>448056</xdr:colOff>
      <xdr:row>21</xdr:row>
      <xdr:rowOff>85344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26E537C7-C35F-4BBC-7096-37D63C61699A}"/>
            </a:ext>
          </a:extLst>
        </xdr:cNvPr>
        <xdr:cNvCxnSpPr/>
      </xdr:nvCxnSpPr>
      <xdr:spPr>
        <a:xfrm>
          <a:off x="6534912" y="2673096"/>
          <a:ext cx="9144" cy="13533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158765</xdr:colOff>
      <xdr:row>14</xdr:row>
      <xdr:rowOff>144301</xdr:rowOff>
    </xdr:from>
    <xdr:to>
      <xdr:col>17</xdr:col>
      <xdr:colOff>167909</xdr:colOff>
      <xdr:row>21</xdr:row>
      <xdr:rowOff>116869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FEB554C9-3057-4DBE-9111-0142574502A2}"/>
            </a:ext>
          </a:extLst>
        </xdr:cNvPr>
        <xdr:cNvCxnSpPr/>
      </xdr:nvCxnSpPr>
      <xdr:spPr>
        <a:xfrm>
          <a:off x="10509265" y="2706713"/>
          <a:ext cx="9144" cy="13508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174171</xdr:colOff>
      <xdr:row>19</xdr:row>
      <xdr:rowOff>167096</xdr:rowOff>
    </xdr:from>
    <xdr:to>
      <xdr:col>36</xdr:col>
      <xdr:colOff>486591</xdr:colOff>
      <xdr:row>58</xdr:row>
      <xdr:rowOff>170905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6957F3-1096-C01C-93A4-20879C28D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370113</xdr:colOff>
      <xdr:row>21</xdr:row>
      <xdr:rowOff>58239</xdr:rowOff>
    </xdr:from>
    <xdr:to>
      <xdr:col>17</xdr:col>
      <xdr:colOff>595448</xdr:colOff>
      <xdr:row>60</xdr:row>
      <xdr:rowOff>62048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CA5A3BA-DE81-3D50-D316-56EF181A7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411480</xdr:colOff>
      <xdr:row>12</xdr:row>
      <xdr:rowOff>175260</xdr:rowOff>
    </xdr:from>
    <xdr:to>
      <xdr:col>14</xdr:col>
      <xdr:colOff>449194</xdr:colOff>
      <xdr:row>22</xdr:row>
      <xdr:rowOff>155984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421A145-D6C5-5824-A5FD-D06033E4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8280" y="2369820"/>
          <a:ext cx="3085714" cy="18095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556260</xdr:colOff>
      <xdr:row>8</xdr:row>
      <xdr:rowOff>22860</xdr:rowOff>
    </xdr:from>
    <xdr:to>
      <xdr:col>22</xdr:col>
      <xdr:colOff>304800</xdr:colOff>
      <xdr:row>32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8B02D2-700A-F06F-54C5-794324FCE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22</xdr:row>
      <xdr:rowOff>160020</xdr:rowOff>
    </xdr:from>
    <xdr:to>
      <xdr:col>21</xdr:col>
      <xdr:colOff>220980</xdr:colOff>
      <xdr:row>57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D5089B-F504-44B4-80B9-776791A27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3B71-B065-4207-A7F3-2D37F0D27C35}">
  <dimension ref="A1:P19"/>
  <sheetViews>
    <sheetView zoomScale="130" zoomScaleNormal="130" workbookViewId="0">
      <selection activeCell="P4" sqref="P4"/>
    </sheetView>
  </sheetViews>
  <sheetFormatPr defaultRowHeight="14.4" x14ac:dyDescent="0.3"/>
  <cols>
    <col min="7" max="8" width="4.77734375" customWidth="1"/>
  </cols>
  <sheetData>
    <row r="1" spans="1:16" x14ac:dyDescent="0.3">
      <c r="A1" t="s">
        <v>23</v>
      </c>
      <c r="B1" t="s">
        <v>76</v>
      </c>
      <c r="C1" t="s">
        <v>77</v>
      </c>
      <c r="D1" t="s">
        <v>78</v>
      </c>
      <c r="F1" t="s">
        <v>23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</row>
    <row r="2" spans="1:16" x14ac:dyDescent="0.3">
      <c r="A2">
        <v>1</v>
      </c>
      <c r="B2">
        <v>0</v>
      </c>
      <c r="C2">
        <v>0</v>
      </c>
      <c r="D2">
        <f>C2-B2</f>
        <v>0</v>
      </c>
      <c r="F2" s="68">
        <v>1</v>
      </c>
      <c r="G2" s="68">
        <v>1</v>
      </c>
      <c r="H2" s="68">
        <v>2</v>
      </c>
      <c r="I2" s="68">
        <v>21</v>
      </c>
      <c r="J2" s="68">
        <f>INDEX($C$2:$C$11,H2)-INDEX($B$2:$B$11,G2)-I2</f>
        <v>11</v>
      </c>
      <c r="K2" s="68">
        <f>INDEX($C$2:$C$11,H2)-INDEX($C$2:$C$11,G2)-I2</f>
        <v>11</v>
      </c>
      <c r="L2" s="68">
        <f t="shared" ref="L2:L19" si="0">INDEX($B$2:$B$11,H2)-INDEX($B$2:$B$11,G2)-I2</f>
        <v>0</v>
      </c>
      <c r="M2" s="68">
        <f>INDEX($B$2:$B$11,H2)-INDEX($C$2:$C$11,G2)-I2</f>
        <v>0</v>
      </c>
      <c r="O2" t="s">
        <v>100</v>
      </c>
      <c r="P2" t="s">
        <v>101</v>
      </c>
    </row>
    <row r="3" spans="1:16" x14ac:dyDescent="0.3">
      <c r="A3">
        <v>2</v>
      </c>
      <c r="B3">
        <v>21</v>
      </c>
      <c r="C3">
        <v>32</v>
      </c>
      <c r="D3">
        <f t="shared" ref="D3:D11" si="1">C3-B3</f>
        <v>11</v>
      </c>
      <c r="F3" s="68">
        <v>2</v>
      </c>
      <c r="G3" s="68">
        <v>1</v>
      </c>
      <c r="H3" s="68">
        <v>3</v>
      </c>
      <c r="I3" s="68">
        <v>18</v>
      </c>
      <c r="J3" s="68">
        <f t="shared" ref="J3:J19" si="2">INDEX($C$2:$C$11,H3)-INDEX($B$2:$B$11,G3)-I3</f>
        <v>0</v>
      </c>
      <c r="K3" s="68">
        <f t="shared" ref="K3:K19" si="3">INDEX($C$2:$C$11,H3)-INDEX($C$2:$C$11,G3)-I3</f>
        <v>0</v>
      </c>
      <c r="L3" s="68">
        <f t="shared" si="0"/>
        <v>0</v>
      </c>
      <c r="M3" s="68">
        <f t="shared" ref="M3:M19" si="4">INDEX($B$2:$B$11,H3)-INDEX($C$2:$C$11,G3)-I3</f>
        <v>0</v>
      </c>
      <c r="P3" t="s">
        <v>102</v>
      </c>
    </row>
    <row r="4" spans="1:16" x14ac:dyDescent="0.3">
      <c r="A4">
        <v>3</v>
      </c>
      <c r="B4">
        <v>18</v>
      </c>
      <c r="C4">
        <v>18</v>
      </c>
      <c r="D4">
        <f t="shared" si="1"/>
        <v>0</v>
      </c>
      <c r="F4" s="68">
        <v>3</v>
      </c>
      <c r="G4" s="68">
        <v>1</v>
      </c>
      <c r="H4" s="68">
        <v>4</v>
      </c>
      <c r="I4" s="68">
        <v>14</v>
      </c>
      <c r="J4" s="68">
        <f t="shared" si="2"/>
        <v>19</v>
      </c>
      <c r="K4" s="68">
        <f t="shared" si="3"/>
        <v>19</v>
      </c>
      <c r="L4" s="68">
        <f t="shared" si="0"/>
        <v>19</v>
      </c>
      <c r="M4" s="68">
        <f t="shared" si="4"/>
        <v>19</v>
      </c>
      <c r="P4" t="s">
        <v>103</v>
      </c>
    </row>
    <row r="5" spans="1:16" x14ac:dyDescent="0.3">
      <c r="A5">
        <v>4</v>
      </c>
      <c r="B5">
        <v>33</v>
      </c>
      <c r="C5">
        <v>33</v>
      </c>
      <c r="D5">
        <f t="shared" si="1"/>
        <v>0</v>
      </c>
      <c r="F5" s="68">
        <v>4</v>
      </c>
      <c r="G5" s="68">
        <v>2</v>
      </c>
      <c r="H5" s="68">
        <v>5</v>
      </c>
      <c r="I5" s="68">
        <v>14</v>
      </c>
      <c r="J5" s="68">
        <f t="shared" si="2"/>
        <v>11</v>
      </c>
      <c r="K5" s="68">
        <f t="shared" si="3"/>
        <v>0</v>
      </c>
      <c r="L5" s="68">
        <f t="shared" si="0"/>
        <v>0</v>
      </c>
      <c r="M5" s="68">
        <f t="shared" si="4"/>
        <v>-11</v>
      </c>
    </row>
    <row r="6" spans="1:16" x14ac:dyDescent="0.3">
      <c r="A6">
        <v>5</v>
      </c>
      <c r="B6">
        <v>35</v>
      </c>
      <c r="C6">
        <v>46</v>
      </c>
      <c r="D6">
        <f t="shared" si="1"/>
        <v>11</v>
      </c>
      <c r="F6" s="68">
        <v>5</v>
      </c>
      <c r="G6" s="68">
        <v>2</v>
      </c>
      <c r="H6" s="68">
        <v>7</v>
      </c>
      <c r="I6" s="68">
        <v>29</v>
      </c>
      <c r="J6" s="68">
        <f t="shared" si="2"/>
        <v>27</v>
      </c>
      <c r="K6" s="68">
        <f t="shared" si="3"/>
        <v>16</v>
      </c>
      <c r="L6" s="68">
        <f t="shared" si="0"/>
        <v>16</v>
      </c>
      <c r="M6" s="68">
        <f t="shared" si="4"/>
        <v>5</v>
      </c>
    </row>
    <row r="7" spans="1:16" x14ac:dyDescent="0.3">
      <c r="A7">
        <v>6</v>
      </c>
      <c r="B7">
        <v>61</v>
      </c>
      <c r="C7">
        <v>61</v>
      </c>
      <c r="D7">
        <f t="shared" si="1"/>
        <v>0</v>
      </c>
      <c r="F7" s="68">
        <v>6</v>
      </c>
      <c r="G7" s="68">
        <v>3</v>
      </c>
      <c r="H7" s="68">
        <v>4</v>
      </c>
      <c r="I7" s="68">
        <v>15</v>
      </c>
      <c r="J7" s="68">
        <f t="shared" si="2"/>
        <v>0</v>
      </c>
      <c r="K7" s="68">
        <f t="shared" si="3"/>
        <v>0</v>
      </c>
      <c r="L7" s="68">
        <f t="shared" si="0"/>
        <v>0</v>
      </c>
      <c r="M7" s="68">
        <f t="shared" si="4"/>
        <v>0</v>
      </c>
    </row>
    <row r="8" spans="1:16" x14ac:dyDescent="0.3">
      <c r="A8">
        <v>7</v>
      </c>
      <c r="B8">
        <v>66</v>
      </c>
      <c r="C8">
        <v>77</v>
      </c>
      <c r="D8">
        <f t="shared" si="1"/>
        <v>11</v>
      </c>
      <c r="F8" s="68">
        <v>7</v>
      </c>
      <c r="G8" s="68">
        <v>3</v>
      </c>
      <c r="H8" s="68">
        <v>5</v>
      </c>
      <c r="I8" s="68">
        <v>11</v>
      </c>
      <c r="J8" s="68">
        <f t="shared" si="2"/>
        <v>17</v>
      </c>
      <c r="K8" s="68">
        <f t="shared" si="3"/>
        <v>17</v>
      </c>
      <c r="L8" s="68">
        <f t="shared" si="0"/>
        <v>6</v>
      </c>
      <c r="M8" s="68">
        <f t="shared" si="4"/>
        <v>6</v>
      </c>
    </row>
    <row r="9" spans="1:16" x14ac:dyDescent="0.3">
      <c r="A9">
        <v>8</v>
      </c>
      <c r="B9">
        <v>95</v>
      </c>
      <c r="C9">
        <v>95</v>
      </c>
      <c r="D9">
        <f t="shared" si="1"/>
        <v>0</v>
      </c>
      <c r="F9" s="68">
        <v>8</v>
      </c>
      <c r="G9" s="68">
        <v>3</v>
      </c>
      <c r="H9" s="68">
        <v>6</v>
      </c>
      <c r="I9" s="68">
        <v>18</v>
      </c>
      <c r="J9" s="68">
        <f t="shared" si="2"/>
        <v>25</v>
      </c>
      <c r="K9" s="68">
        <f t="shared" si="3"/>
        <v>25</v>
      </c>
      <c r="L9" s="68">
        <f t="shared" si="0"/>
        <v>25</v>
      </c>
      <c r="M9" s="68">
        <f t="shared" si="4"/>
        <v>25</v>
      </c>
    </row>
    <row r="10" spans="1:16" x14ac:dyDescent="0.3">
      <c r="A10">
        <v>9</v>
      </c>
      <c r="B10">
        <v>76</v>
      </c>
      <c r="C10">
        <v>76</v>
      </c>
      <c r="D10">
        <f t="shared" si="1"/>
        <v>0</v>
      </c>
      <c r="F10" s="68">
        <v>9</v>
      </c>
      <c r="G10" s="68">
        <v>4</v>
      </c>
      <c r="H10" s="68">
        <v>6</v>
      </c>
      <c r="I10" s="68">
        <v>28</v>
      </c>
      <c r="J10" s="68">
        <f t="shared" si="2"/>
        <v>0</v>
      </c>
      <c r="K10" s="68">
        <f t="shared" si="3"/>
        <v>0</v>
      </c>
      <c r="L10" s="68">
        <f t="shared" si="0"/>
        <v>0</v>
      </c>
      <c r="M10" s="68">
        <f t="shared" si="4"/>
        <v>0</v>
      </c>
    </row>
    <row r="11" spans="1:16" x14ac:dyDescent="0.3">
      <c r="A11">
        <v>10</v>
      </c>
      <c r="B11">
        <v>130</v>
      </c>
      <c r="C11">
        <v>130</v>
      </c>
      <c r="D11">
        <f t="shared" si="1"/>
        <v>0</v>
      </c>
      <c r="F11" s="68">
        <v>10</v>
      </c>
      <c r="G11" s="68">
        <v>4</v>
      </c>
      <c r="H11" s="68">
        <v>9</v>
      </c>
      <c r="I11" s="68">
        <v>35</v>
      </c>
      <c r="J11" s="68">
        <f t="shared" si="2"/>
        <v>8</v>
      </c>
      <c r="K11" s="68">
        <f t="shared" si="3"/>
        <v>8</v>
      </c>
      <c r="L11" s="68">
        <f t="shared" si="0"/>
        <v>8</v>
      </c>
      <c r="M11" s="68">
        <f t="shared" si="4"/>
        <v>8</v>
      </c>
    </row>
    <row r="12" spans="1:16" x14ac:dyDescent="0.3">
      <c r="F12" s="68">
        <v>11</v>
      </c>
      <c r="G12" s="68">
        <v>5</v>
      </c>
      <c r="H12" s="68">
        <v>7</v>
      </c>
      <c r="I12" s="68">
        <v>31</v>
      </c>
      <c r="J12" s="68">
        <f t="shared" si="2"/>
        <v>11</v>
      </c>
      <c r="K12" s="68">
        <f t="shared" si="3"/>
        <v>0</v>
      </c>
      <c r="L12" s="68">
        <f t="shared" si="0"/>
        <v>0</v>
      </c>
      <c r="M12" s="68">
        <f t="shared" si="4"/>
        <v>-11</v>
      </c>
    </row>
    <row r="13" spans="1:16" x14ac:dyDescent="0.3">
      <c r="F13" s="68">
        <v>12</v>
      </c>
      <c r="G13" s="68">
        <v>5</v>
      </c>
      <c r="H13" s="68">
        <v>8</v>
      </c>
      <c r="I13" s="68">
        <v>29</v>
      </c>
      <c r="J13" s="68">
        <f t="shared" si="2"/>
        <v>31</v>
      </c>
      <c r="K13" s="68">
        <f t="shared" si="3"/>
        <v>20</v>
      </c>
      <c r="L13" s="68">
        <f t="shared" si="0"/>
        <v>31</v>
      </c>
      <c r="M13" s="68">
        <f t="shared" si="4"/>
        <v>20</v>
      </c>
    </row>
    <row r="14" spans="1:16" x14ac:dyDescent="0.3">
      <c r="F14" s="68">
        <v>13</v>
      </c>
      <c r="G14" s="68">
        <v>6</v>
      </c>
      <c r="H14" s="68">
        <v>9</v>
      </c>
      <c r="I14" s="68">
        <v>15</v>
      </c>
      <c r="J14" s="68">
        <f t="shared" si="2"/>
        <v>0</v>
      </c>
      <c r="K14" s="68">
        <f t="shared" si="3"/>
        <v>0</v>
      </c>
      <c r="L14" s="68">
        <f t="shared" si="0"/>
        <v>0</v>
      </c>
      <c r="M14" s="68">
        <f t="shared" si="4"/>
        <v>0</v>
      </c>
    </row>
    <row r="15" spans="1:16" x14ac:dyDescent="0.3">
      <c r="F15" s="68">
        <v>14</v>
      </c>
      <c r="G15" s="68">
        <v>7</v>
      </c>
      <c r="H15" s="68">
        <v>8</v>
      </c>
      <c r="I15" s="68">
        <v>18</v>
      </c>
      <c r="J15" s="68">
        <f t="shared" si="2"/>
        <v>11</v>
      </c>
      <c r="K15" s="68">
        <f t="shared" si="3"/>
        <v>0</v>
      </c>
      <c r="L15" s="68">
        <f t="shared" si="0"/>
        <v>11</v>
      </c>
      <c r="M15" s="68">
        <f t="shared" si="4"/>
        <v>0</v>
      </c>
    </row>
    <row r="16" spans="1:16" x14ac:dyDescent="0.3">
      <c r="F16" s="68">
        <v>15</v>
      </c>
      <c r="G16" s="68">
        <v>7</v>
      </c>
      <c r="H16" s="68">
        <v>10</v>
      </c>
      <c r="I16" s="68">
        <v>29</v>
      </c>
      <c r="J16" s="68">
        <f t="shared" si="2"/>
        <v>35</v>
      </c>
      <c r="K16" s="68">
        <f t="shared" si="3"/>
        <v>24</v>
      </c>
      <c r="L16" s="68">
        <f t="shared" si="0"/>
        <v>35</v>
      </c>
      <c r="M16" s="68">
        <f t="shared" si="4"/>
        <v>24</v>
      </c>
    </row>
    <row r="17" spans="6:13" x14ac:dyDescent="0.3">
      <c r="F17" s="68">
        <v>16</v>
      </c>
      <c r="G17" s="68">
        <v>8</v>
      </c>
      <c r="H17" s="68">
        <v>10</v>
      </c>
      <c r="I17" s="68">
        <v>35</v>
      </c>
      <c r="J17" s="68">
        <f t="shared" si="2"/>
        <v>0</v>
      </c>
      <c r="K17" s="68">
        <f t="shared" si="3"/>
        <v>0</v>
      </c>
      <c r="L17" s="68">
        <f t="shared" si="0"/>
        <v>0</v>
      </c>
      <c r="M17" s="68">
        <f t="shared" si="4"/>
        <v>0</v>
      </c>
    </row>
    <row r="18" spans="6:13" x14ac:dyDescent="0.3">
      <c r="F18" s="68">
        <v>17</v>
      </c>
      <c r="G18" s="68">
        <v>9</v>
      </c>
      <c r="H18" s="68">
        <v>8</v>
      </c>
      <c r="I18" s="68">
        <v>19</v>
      </c>
      <c r="J18" s="68">
        <f t="shared" si="2"/>
        <v>0</v>
      </c>
      <c r="K18" s="68">
        <f t="shared" si="3"/>
        <v>0</v>
      </c>
      <c r="L18" s="68">
        <f t="shared" si="0"/>
        <v>0</v>
      </c>
      <c r="M18" s="68">
        <f t="shared" si="4"/>
        <v>0</v>
      </c>
    </row>
    <row r="19" spans="6:13" x14ac:dyDescent="0.3">
      <c r="F19" s="75">
        <v>18</v>
      </c>
      <c r="G19" s="75">
        <v>9</v>
      </c>
      <c r="H19" s="75">
        <v>10</v>
      </c>
      <c r="I19" s="75">
        <v>31</v>
      </c>
      <c r="J19" s="75">
        <f t="shared" si="2"/>
        <v>23</v>
      </c>
      <c r="K19" s="75">
        <f t="shared" si="3"/>
        <v>23</v>
      </c>
      <c r="L19" s="75">
        <f t="shared" si="0"/>
        <v>23</v>
      </c>
      <c r="M19" s="75">
        <f t="shared" si="4"/>
        <v>23</v>
      </c>
    </row>
  </sheetData>
  <conditionalFormatting sqref="J2:M19">
    <cfRule type="cellIs" dxfId="12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7E75-4F17-4B44-9FB1-24A9E052818F}">
  <dimension ref="A1:AA57"/>
  <sheetViews>
    <sheetView workbookViewId="0">
      <selection activeCell="N13" sqref="N13"/>
    </sheetView>
  </sheetViews>
  <sheetFormatPr defaultRowHeight="14.4" x14ac:dyDescent="0.3"/>
  <cols>
    <col min="10" max="10" width="9.109375" customWidth="1"/>
  </cols>
  <sheetData>
    <row r="1" spans="1:21" ht="16.2" thickBot="1" x14ac:dyDescent="0.35">
      <c r="B1" s="58" t="s">
        <v>48</v>
      </c>
      <c r="C1" s="59" t="s">
        <v>49</v>
      </c>
      <c r="D1" s="58" t="s">
        <v>88</v>
      </c>
      <c r="E1" s="58" t="s">
        <v>87</v>
      </c>
      <c r="F1" s="59" t="s">
        <v>86</v>
      </c>
      <c r="G1" s="60" t="s">
        <v>52</v>
      </c>
      <c r="H1" s="64" t="s">
        <v>59</v>
      </c>
      <c r="Q1">
        <v>5</v>
      </c>
      <c r="R1">
        <v>4</v>
      </c>
      <c r="S1">
        <v>3</v>
      </c>
      <c r="T1">
        <v>2</v>
      </c>
      <c r="U1">
        <v>1</v>
      </c>
    </row>
    <row r="2" spans="1:21" ht="16.2" thickBot="1" x14ac:dyDescent="0.35">
      <c r="A2" s="61">
        <v>1</v>
      </c>
      <c r="B2" s="2">
        <v>0</v>
      </c>
      <c r="C2" s="52">
        <v>0</v>
      </c>
      <c r="D2" s="52">
        <f>B2*C2</f>
        <v>0</v>
      </c>
      <c r="E2" s="55">
        <f>B2*B2</f>
        <v>0</v>
      </c>
      <c r="F2" s="3">
        <f>C2*C2</f>
        <v>0</v>
      </c>
      <c r="G2" s="7">
        <v>2</v>
      </c>
      <c r="H2">
        <f>J$17+$B2*J$18+$C2*J$19+$D2*J$20+$E2*J$21+$F2*J$22</f>
        <v>1.89</v>
      </c>
      <c r="I2">
        <f t="shared" ref="I2:L2" si="0">K$17+$B2*K$18+$C2*K$19+$D2*K$20+$E2*K$21+$F2*K$22</f>
        <v>2.4892086330935252</v>
      </c>
      <c r="J2">
        <f t="shared" si="0"/>
        <v>2.3636363636363642</v>
      </c>
      <c r="K2">
        <f t="shared" si="0"/>
        <v>2.1470588235294117</v>
      </c>
      <c r="L2">
        <f t="shared" si="0"/>
        <v>1.0714285714285714</v>
      </c>
      <c r="Q2">
        <f>H2-$G2</f>
        <v>-0.1100000000000001</v>
      </c>
      <c r="R2">
        <f t="shared" ref="R2:U15" si="1">I2-$G2</f>
        <v>0.48920863309352525</v>
      </c>
      <c r="S2">
        <f t="shared" si="1"/>
        <v>0.3636363636363642</v>
      </c>
      <c r="T2">
        <f t="shared" si="1"/>
        <v>0.14705882352941169</v>
      </c>
      <c r="U2">
        <f t="shared" si="1"/>
        <v>-0.9285714285714286</v>
      </c>
    </row>
    <row r="3" spans="1:21" ht="16.2" thickBot="1" x14ac:dyDescent="0.35">
      <c r="A3" s="62">
        <f>A2+1</f>
        <v>2</v>
      </c>
      <c r="B3">
        <v>1</v>
      </c>
      <c r="C3" s="53">
        <v>0</v>
      </c>
      <c r="D3" s="52">
        <f t="shared" ref="D3:D15" si="2">B3*C3</f>
        <v>0</v>
      </c>
      <c r="E3" s="55">
        <f t="shared" ref="E3:E15" si="3">B3*B3</f>
        <v>1</v>
      </c>
      <c r="F3" s="3">
        <f t="shared" ref="F3:F15" si="4">C3*C3</f>
        <v>0</v>
      </c>
      <c r="G3" s="51">
        <v>2</v>
      </c>
      <c r="H3">
        <f t="shared" ref="H3:H15" si="5">J$17+$B3*J$18+$C3*J$19+$D3*J$20+$E3*J$21+$F3*J$22</f>
        <v>1.23</v>
      </c>
      <c r="I3">
        <f t="shared" ref="I3:I15" si="6">K$17+$B3*K$18+$C3*K$19+$D3*K$20+$E3*K$21+$F3*K$22</f>
        <v>1.3139568345323744</v>
      </c>
      <c r="J3">
        <f t="shared" ref="J3:J15" si="7">L$17+$B3*L$18+$C3*L$19+$D3*L$20+$E3*L$21+$F3*L$22</f>
        <v>1.2145454545454553</v>
      </c>
      <c r="K3">
        <f t="shared" ref="K3:K15" si="8">M$17+$B3*M$18+$C3*M$19+$D3*M$20+$E3*M$21+$F3*M$22</f>
        <v>1.2058823529411764</v>
      </c>
      <c r="L3">
        <f t="shared" ref="L3:L15" si="9">N$17+$B3*N$18+$C3*N$19+$D3*N$20+$E3*N$21+$F3*N$22</f>
        <v>1.0714285714285714</v>
      </c>
      <c r="Q3">
        <f t="shared" ref="Q3:Q15" si="10">H3-$G3</f>
        <v>-0.77</v>
      </c>
      <c r="R3">
        <f t="shared" si="1"/>
        <v>-0.68604316546762556</v>
      </c>
      <c r="S3">
        <f t="shared" si="1"/>
        <v>-0.78545454545454474</v>
      </c>
      <c r="T3">
        <f t="shared" si="1"/>
        <v>-0.79411764705882359</v>
      </c>
      <c r="U3">
        <f t="shared" si="1"/>
        <v>-0.9285714285714286</v>
      </c>
    </row>
    <row r="4" spans="1:21" ht="16.2" thickBot="1" x14ac:dyDescent="0.35">
      <c r="A4" s="62">
        <f t="shared" ref="A4:A15" si="11">A3+1</f>
        <v>3</v>
      </c>
      <c r="B4">
        <v>1</v>
      </c>
      <c r="C4" s="53">
        <v>1</v>
      </c>
      <c r="D4" s="52">
        <f t="shared" si="2"/>
        <v>1</v>
      </c>
      <c r="E4" s="55">
        <f t="shared" si="3"/>
        <v>1</v>
      </c>
      <c r="F4" s="3">
        <f>C4*C4</f>
        <v>1</v>
      </c>
      <c r="G4" s="51">
        <v>1</v>
      </c>
      <c r="H4">
        <f t="shared" si="5"/>
        <v>0.85</v>
      </c>
      <c r="I4">
        <f t="shared" si="6"/>
        <v>1.0837410071942446</v>
      </c>
      <c r="J4">
        <f t="shared" si="7"/>
        <v>1.2145454545454553</v>
      </c>
      <c r="K4">
        <f t="shared" si="8"/>
        <v>1.2058823529411764</v>
      </c>
      <c r="L4">
        <f t="shared" si="9"/>
        <v>1.0714285714285714</v>
      </c>
      <c r="Q4">
        <f t="shared" si="10"/>
        <v>-0.15000000000000002</v>
      </c>
      <c r="R4">
        <f t="shared" si="1"/>
        <v>8.3741007194244599E-2</v>
      </c>
      <c r="S4">
        <f t="shared" si="1"/>
        <v>0.21454545454545526</v>
      </c>
      <c r="T4">
        <f t="shared" si="1"/>
        <v>0.20588235294117641</v>
      </c>
      <c r="U4">
        <f t="shared" si="1"/>
        <v>7.1428571428571397E-2</v>
      </c>
    </row>
    <row r="5" spans="1:21" ht="16.2" thickBot="1" x14ac:dyDescent="0.35">
      <c r="A5" s="62">
        <f t="shared" si="11"/>
        <v>4</v>
      </c>
      <c r="B5">
        <v>1</v>
      </c>
      <c r="C5" s="53">
        <v>1</v>
      </c>
      <c r="D5" s="52">
        <f t="shared" si="2"/>
        <v>1</v>
      </c>
      <c r="E5" s="55">
        <f t="shared" si="3"/>
        <v>1</v>
      </c>
      <c r="F5" s="3">
        <f t="shared" si="4"/>
        <v>1</v>
      </c>
      <c r="G5" s="51">
        <v>2</v>
      </c>
      <c r="H5">
        <f t="shared" si="5"/>
        <v>0.85</v>
      </c>
      <c r="I5">
        <f t="shared" si="6"/>
        <v>1.0837410071942446</v>
      </c>
      <c r="J5">
        <f t="shared" si="7"/>
        <v>1.2145454545454553</v>
      </c>
      <c r="K5">
        <f t="shared" si="8"/>
        <v>1.2058823529411764</v>
      </c>
      <c r="L5">
        <f t="shared" si="9"/>
        <v>1.0714285714285714</v>
      </c>
      <c r="Q5">
        <f t="shared" si="10"/>
        <v>-1.1499999999999999</v>
      </c>
      <c r="R5">
        <f t="shared" si="1"/>
        <v>-0.9162589928057554</v>
      </c>
      <c r="S5">
        <f t="shared" si="1"/>
        <v>-0.78545454545454474</v>
      </c>
      <c r="T5">
        <f t="shared" si="1"/>
        <v>-0.79411764705882359</v>
      </c>
      <c r="U5">
        <f t="shared" si="1"/>
        <v>-0.9285714285714286</v>
      </c>
    </row>
    <row r="6" spans="1:21" ht="16.2" thickBot="1" x14ac:dyDescent="0.35">
      <c r="A6" s="62">
        <f t="shared" si="11"/>
        <v>5</v>
      </c>
      <c r="B6" s="49">
        <v>1</v>
      </c>
      <c r="C6" s="54">
        <v>1</v>
      </c>
      <c r="D6" s="52">
        <f t="shared" si="2"/>
        <v>1</v>
      </c>
      <c r="E6" s="55">
        <f t="shared" si="3"/>
        <v>1</v>
      </c>
      <c r="F6" s="3">
        <f t="shared" si="4"/>
        <v>1</v>
      </c>
      <c r="G6" s="8">
        <v>0</v>
      </c>
      <c r="H6">
        <f t="shared" si="5"/>
        <v>0.85</v>
      </c>
      <c r="I6">
        <f t="shared" si="6"/>
        <v>1.0837410071942446</v>
      </c>
      <c r="J6">
        <f t="shared" si="7"/>
        <v>1.2145454545454553</v>
      </c>
      <c r="K6">
        <f t="shared" si="8"/>
        <v>1.2058823529411764</v>
      </c>
      <c r="L6">
        <f t="shared" si="9"/>
        <v>1.0714285714285714</v>
      </c>
      <c r="Q6">
        <f t="shared" si="10"/>
        <v>0.85</v>
      </c>
      <c r="R6">
        <f t="shared" si="1"/>
        <v>1.0837410071942446</v>
      </c>
      <c r="S6">
        <f t="shared" si="1"/>
        <v>1.2145454545454553</v>
      </c>
      <c r="T6">
        <f t="shared" si="1"/>
        <v>1.2058823529411764</v>
      </c>
      <c r="U6">
        <f t="shared" si="1"/>
        <v>1.0714285714285714</v>
      </c>
    </row>
    <row r="7" spans="1:21" ht="16.2" thickBot="1" x14ac:dyDescent="0.35">
      <c r="A7" s="62">
        <f t="shared" si="11"/>
        <v>6</v>
      </c>
      <c r="B7" s="2">
        <v>1</v>
      </c>
      <c r="C7" s="52">
        <v>0</v>
      </c>
      <c r="D7" s="52">
        <f t="shared" si="2"/>
        <v>0</v>
      </c>
      <c r="E7" s="55">
        <f t="shared" si="3"/>
        <v>1</v>
      </c>
      <c r="F7" s="3">
        <f t="shared" si="4"/>
        <v>0</v>
      </c>
      <c r="G7" s="7">
        <v>0</v>
      </c>
      <c r="H7">
        <f t="shared" si="5"/>
        <v>1.23</v>
      </c>
      <c r="I7">
        <f t="shared" si="6"/>
        <v>1.3139568345323744</v>
      </c>
      <c r="J7">
        <f t="shared" si="7"/>
        <v>1.2145454545454553</v>
      </c>
      <c r="K7">
        <f t="shared" si="8"/>
        <v>1.2058823529411764</v>
      </c>
      <c r="L7">
        <f t="shared" si="9"/>
        <v>1.0714285714285714</v>
      </c>
      <c r="Q7">
        <f t="shared" si="10"/>
        <v>1.23</v>
      </c>
      <c r="R7">
        <f t="shared" si="1"/>
        <v>1.3139568345323744</v>
      </c>
      <c r="S7">
        <f t="shared" si="1"/>
        <v>1.2145454545454553</v>
      </c>
      <c r="T7">
        <f t="shared" si="1"/>
        <v>1.2058823529411764</v>
      </c>
      <c r="U7">
        <f t="shared" si="1"/>
        <v>1.0714285714285714</v>
      </c>
    </row>
    <row r="8" spans="1:21" ht="16.2" thickBot="1" x14ac:dyDescent="0.35">
      <c r="A8" s="62">
        <f t="shared" si="11"/>
        <v>7</v>
      </c>
      <c r="B8">
        <v>0</v>
      </c>
      <c r="C8" s="53">
        <v>1</v>
      </c>
      <c r="D8" s="52">
        <f t="shared" si="2"/>
        <v>0</v>
      </c>
      <c r="E8" s="55">
        <f t="shared" si="3"/>
        <v>0</v>
      </c>
      <c r="F8" s="3">
        <f t="shared" si="4"/>
        <v>1</v>
      </c>
      <c r="G8" s="51">
        <v>2</v>
      </c>
      <c r="H8">
        <f t="shared" si="5"/>
        <v>1.6099999999999999</v>
      </c>
      <c r="I8">
        <f t="shared" si="6"/>
        <v>2.2589928057553958</v>
      </c>
      <c r="J8">
        <f t="shared" si="7"/>
        <v>2.3636363636363642</v>
      </c>
      <c r="K8">
        <f t="shared" si="8"/>
        <v>2.1470588235294117</v>
      </c>
      <c r="L8">
        <f t="shared" si="9"/>
        <v>1.0714285714285714</v>
      </c>
      <c r="Q8">
        <f t="shared" si="10"/>
        <v>-0.39000000000000012</v>
      </c>
      <c r="R8">
        <f t="shared" si="1"/>
        <v>0.25899280575539585</v>
      </c>
      <c r="S8">
        <f t="shared" si="1"/>
        <v>0.3636363636363642</v>
      </c>
      <c r="T8">
        <f t="shared" si="1"/>
        <v>0.14705882352941169</v>
      </c>
      <c r="U8">
        <f t="shared" si="1"/>
        <v>-0.9285714285714286</v>
      </c>
    </row>
    <row r="9" spans="1:21" ht="16.2" thickBot="1" x14ac:dyDescent="0.35">
      <c r="A9" s="62">
        <f t="shared" si="11"/>
        <v>8</v>
      </c>
      <c r="B9">
        <v>0</v>
      </c>
      <c r="C9" s="53">
        <v>1</v>
      </c>
      <c r="D9" s="52">
        <f t="shared" si="2"/>
        <v>0</v>
      </c>
      <c r="E9" s="55">
        <f t="shared" si="3"/>
        <v>0</v>
      </c>
      <c r="F9" s="3">
        <f t="shared" si="4"/>
        <v>1</v>
      </c>
      <c r="G9" s="51">
        <v>1</v>
      </c>
      <c r="H9">
        <f t="shared" si="5"/>
        <v>1.6099999999999999</v>
      </c>
      <c r="I9">
        <f t="shared" si="6"/>
        <v>2.2589928057553958</v>
      </c>
      <c r="J9">
        <f t="shared" si="7"/>
        <v>2.3636363636363642</v>
      </c>
      <c r="K9">
        <f t="shared" si="8"/>
        <v>2.1470588235294117</v>
      </c>
      <c r="L9">
        <f t="shared" si="9"/>
        <v>1.0714285714285714</v>
      </c>
      <c r="Q9">
        <f t="shared" si="10"/>
        <v>0.60999999999999988</v>
      </c>
      <c r="R9">
        <f t="shared" si="1"/>
        <v>1.2589928057553958</v>
      </c>
      <c r="S9">
        <f t="shared" si="1"/>
        <v>1.3636363636363642</v>
      </c>
      <c r="T9">
        <f t="shared" si="1"/>
        <v>1.1470588235294117</v>
      </c>
      <c r="U9">
        <f t="shared" si="1"/>
        <v>7.1428571428571397E-2</v>
      </c>
    </row>
    <row r="10" spans="1:21" ht="16.2" thickBot="1" x14ac:dyDescent="0.35">
      <c r="A10" s="62">
        <f t="shared" si="11"/>
        <v>9</v>
      </c>
      <c r="B10">
        <v>2</v>
      </c>
      <c r="C10" s="53">
        <v>1</v>
      </c>
      <c r="D10" s="52">
        <f t="shared" si="2"/>
        <v>2</v>
      </c>
      <c r="E10" s="55">
        <f t="shared" si="3"/>
        <v>4</v>
      </c>
      <c r="F10" s="3">
        <f t="shared" si="4"/>
        <v>1</v>
      </c>
      <c r="G10" s="51">
        <v>0</v>
      </c>
      <c r="H10">
        <f t="shared" si="5"/>
        <v>0.22999999999999993</v>
      </c>
      <c r="I10">
        <f t="shared" si="6"/>
        <v>-1.7692086330935251</v>
      </c>
      <c r="J10">
        <f t="shared" si="7"/>
        <v>-1.6436363636363629</v>
      </c>
      <c r="K10">
        <f t="shared" si="8"/>
        <v>-1.6176470588235294</v>
      </c>
      <c r="L10">
        <f t="shared" si="9"/>
        <v>1.0714285714285714</v>
      </c>
      <c r="Q10">
        <f t="shared" si="10"/>
        <v>0.22999999999999993</v>
      </c>
      <c r="R10">
        <f t="shared" si="1"/>
        <v>-1.7692086330935251</v>
      </c>
      <c r="S10">
        <f t="shared" si="1"/>
        <v>-1.6436363636363629</v>
      </c>
      <c r="T10">
        <f t="shared" si="1"/>
        <v>-1.6176470588235294</v>
      </c>
      <c r="U10">
        <f t="shared" si="1"/>
        <v>1.0714285714285714</v>
      </c>
    </row>
    <row r="11" spans="1:21" ht="16.2" thickBot="1" x14ac:dyDescent="0.35">
      <c r="A11" s="62">
        <f t="shared" si="11"/>
        <v>10</v>
      </c>
      <c r="B11" s="49">
        <v>2</v>
      </c>
      <c r="C11" s="54">
        <v>0</v>
      </c>
      <c r="D11" s="52">
        <f t="shared" si="2"/>
        <v>0</v>
      </c>
      <c r="E11" s="55">
        <f t="shared" si="3"/>
        <v>4</v>
      </c>
      <c r="F11" s="3">
        <f t="shared" si="4"/>
        <v>0</v>
      </c>
      <c r="G11" s="8">
        <v>0</v>
      </c>
      <c r="H11">
        <f t="shared" si="5"/>
        <v>0.71</v>
      </c>
      <c r="I11">
        <f t="shared" si="6"/>
        <v>-1.5389928057553954</v>
      </c>
      <c r="J11">
        <f t="shared" si="7"/>
        <v>-1.6436363636363629</v>
      </c>
      <c r="K11">
        <f t="shared" si="8"/>
        <v>-1.6176470588235294</v>
      </c>
      <c r="L11">
        <f t="shared" si="9"/>
        <v>1.0714285714285714</v>
      </c>
      <c r="Q11">
        <f t="shared" si="10"/>
        <v>0.71</v>
      </c>
      <c r="R11">
        <f t="shared" si="1"/>
        <v>-1.5389928057553954</v>
      </c>
      <c r="S11">
        <f t="shared" si="1"/>
        <v>-1.6436363636363629</v>
      </c>
      <c r="T11">
        <f t="shared" si="1"/>
        <v>-1.6176470588235294</v>
      </c>
      <c r="U11">
        <f t="shared" si="1"/>
        <v>1.0714285714285714</v>
      </c>
    </row>
    <row r="12" spans="1:21" ht="16.2" thickBot="1" x14ac:dyDescent="0.35">
      <c r="A12" s="62">
        <f t="shared" si="11"/>
        <v>11</v>
      </c>
      <c r="B12">
        <v>2</v>
      </c>
      <c r="C12" s="53">
        <v>0</v>
      </c>
      <c r="D12" s="52">
        <f t="shared" si="2"/>
        <v>0</v>
      </c>
      <c r="E12" s="55">
        <f t="shared" si="3"/>
        <v>4</v>
      </c>
      <c r="F12" s="3">
        <f t="shared" si="4"/>
        <v>0</v>
      </c>
      <c r="G12" s="51">
        <v>2</v>
      </c>
      <c r="H12">
        <f t="shared" si="5"/>
        <v>0.71</v>
      </c>
      <c r="I12">
        <f t="shared" si="6"/>
        <v>-1.5389928057553954</v>
      </c>
      <c r="J12">
        <f t="shared" si="7"/>
        <v>-1.6436363636363629</v>
      </c>
      <c r="K12">
        <f t="shared" si="8"/>
        <v>-1.6176470588235294</v>
      </c>
      <c r="L12">
        <f t="shared" si="9"/>
        <v>1.0714285714285714</v>
      </c>
      <c r="Q12">
        <f t="shared" si="10"/>
        <v>-1.29</v>
      </c>
      <c r="R12">
        <f t="shared" si="1"/>
        <v>-3.5389928057553952</v>
      </c>
      <c r="S12">
        <f t="shared" si="1"/>
        <v>-3.6436363636363627</v>
      </c>
      <c r="T12">
        <f t="shared" si="1"/>
        <v>-3.6176470588235294</v>
      </c>
      <c r="U12">
        <f t="shared" si="1"/>
        <v>-0.9285714285714286</v>
      </c>
    </row>
    <row r="13" spans="1:21" ht="16.2" thickBot="1" x14ac:dyDescent="0.35">
      <c r="A13" s="62">
        <f t="shared" si="11"/>
        <v>12</v>
      </c>
      <c r="B13">
        <v>2</v>
      </c>
      <c r="C13" s="53">
        <v>0</v>
      </c>
      <c r="D13" s="52">
        <f t="shared" si="2"/>
        <v>0</v>
      </c>
      <c r="E13" s="55">
        <f t="shared" si="3"/>
        <v>4</v>
      </c>
      <c r="F13" s="3">
        <f t="shared" si="4"/>
        <v>0</v>
      </c>
      <c r="G13" s="51">
        <v>1</v>
      </c>
      <c r="H13">
        <f t="shared" si="5"/>
        <v>0.71</v>
      </c>
      <c r="I13">
        <f t="shared" si="6"/>
        <v>-1.5389928057553954</v>
      </c>
      <c r="J13">
        <f t="shared" si="7"/>
        <v>-1.6436363636363629</v>
      </c>
      <c r="K13">
        <f t="shared" si="8"/>
        <v>-1.6176470588235294</v>
      </c>
      <c r="L13">
        <f t="shared" si="9"/>
        <v>1.0714285714285714</v>
      </c>
      <c r="Q13">
        <f t="shared" si="10"/>
        <v>-0.29000000000000004</v>
      </c>
      <c r="R13">
        <f t="shared" si="1"/>
        <v>-2.5389928057553952</v>
      </c>
      <c r="S13">
        <f t="shared" si="1"/>
        <v>-2.6436363636363627</v>
      </c>
      <c r="T13">
        <f t="shared" si="1"/>
        <v>-2.6176470588235294</v>
      </c>
      <c r="U13">
        <f t="shared" si="1"/>
        <v>7.1428571428571397E-2</v>
      </c>
    </row>
    <row r="14" spans="1:21" ht="16.2" thickBot="1" x14ac:dyDescent="0.35">
      <c r="A14" s="62">
        <f t="shared" si="11"/>
        <v>13</v>
      </c>
      <c r="B14">
        <v>2</v>
      </c>
      <c r="C14" s="53">
        <v>0</v>
      </c>
      <c r="D14" s="52">
        <f t="shared" si="2"/>
        <v>0</v>
      </c>
      <c r="E14" s="55">
        <f t="shared" si="3"/>
        <v>4</v>
      </c>
      <c r="F14" s="3">
        <f t="shared" si="4"/>
        <v>0</v>
      </c>
      <c r="G14" s="51">
        <v>0</v>
      </c>
      <c r="H14">
        <f t="shared" si="5"/>
        <v>0.71</v>
      </c>
      <c r="I14">
        <f t="shared" si="6"/>
        <v>-1.5389928057553954</v>
      </c>
      <c r="J14">
        <f t="shared" si="7"/>
        <v>-1.6436363636363629</v>
      </c>
      <c r="K14">
        <f t="shared" si="8"/>
        <v>-1.6176470588235294</v>
      </c>
      <c r="L14">
        <f t="shared" si="9"/>
        <v>1.0714285714285714</v>
      </c>
      <c r="Q14">
        <f t="shared" si="10"/>
        <v>0.71</v>
      </c>
      <c r="R14">
        <f t="shared" si="1"/>
        <v>-1.5389928057553954</v>
      </c>
      <c r="S14">
        <f t="shared" si="1"/>
        <v>-1.6436363636363629</v>
      </c>
      <c r="T14">
        <f t="shared" si="1"/>
        <v>-1.6176470588235294</v>
      </c>
      <c r="U14">
        <f t="shared" si="1"/>
        <v>1.0714285714285714</v>
      </c>
    </row>
    <row r="15" spans="1:21" ht="16.2" thickBot="1" x14ac:dyDescent="0.35">
      <c r="A15" s="63">
        <f t="shared" si="11"/>
        <v>14</v>
      </c>
      <c r="B15" s="49">
        <v>0</v>
      </c>
      <c r="C15" s="54">
        <v>0</v>
      </c>
      <c r="D15" s="52">
        <f t="shared" si="2"/>
        <v>0</v>
      </c>
      <c r="E15" s="55">
        <f t="shared" si="3"/>
        <v>0</v>
      </c>
      <c r="F15" s="3">
        <f t="shared" si="4"/>
        <v>0</v>
      </c>
      <c r="G15" s="8">
        <v>2</v>
      </c>
      <c r="H15">
        <f t="shared" si="5"/>
        <v>1.89</v>
      </c>
      <c r="I15">
        <f t="shared" si="6"/>
        <v>2.4892086330935252</v>
      </c>
      <c r="J15">
        <f t="shared" si="7"/>
        <v>2.3636363636363642</v>
      </c>
      <c r="K15">
        <f t="shared" si="8"/>
        <v>2.1470588235294117</v>
      </c>
      <c r="L15">
        <f t="shared" si="9"/>
        <v>1.0714285714285714</v>
      </c>
      <c r="Q15">
        <f t="shared" si="10"/>
        <v>-0.1100000000000001</v>
      </c>
      <c r="R15">
        <f t="shared" si="1"/>
        <v>0.48920863309352525</v>
      </c>
      <c r="S15">
        <f t="shared" si="1"/>
        <v>0.3636363636363642</v>
      </c>
      <c r="T15">
        <f t="shared" si="1"/>
        <v>0.14705882352941169</v>
      </c>
      <c r="U15">
        <f t="shared" si="1"/>
        <v>-0.9285714285714286</v>
      </c>
    </row>
    <row r="16" spans="1:21" x14ac:dyDescent="0.3">
      <c r="C16" s="53"/>
      <c r="D16" s="53"/>
      <c r="E16" s="56"/>
    </row>
    <row r="17" spans="1:27" ht="15.6" x14ac:dyDescent="0.3">
      <c r="A17" s="64">
        <f>MAX(A2:A15)</f>
        <v>14</v>
      </c>
      <c r="B17">
        <f t="shared" ref="B17:G17" si="12">SUM(B2:B15)</f>
        <v>15</v>
      </c>
      <c r="C17">
        <f t="shared" si="12"/>
        <v>6</v>
      </c>
      <c r="D17">
        <f t="shared" si="12"/>
        <v>5</v>
      </c>
      <c r="E17">
        <f t="shared" si="12"/>
        <v>25</v>
      </c>
      <c r="F17">
        <f t="shared" si="12"/>
        <v>6</v>
      </c>
      <c r="G17" s="69">
        <f t="shared" si="12"/>
        <v>15</v>
      </c>
      <c r="H17">
        <f>MDETERM(A17:F22)</f>
        <v>0</v>
      </c>
      <c r="I17" t="s">
        <v>53</v>
      </c>
      <c r="J17" s="65">
        <v>1.89</v>
      </c>
      <c r="K17" s="66">
        <f>T28</f>
        <v>2.4892086330935252</v>
      </c>
      <c r="L17" s="66">
        <f>AA28</f>
        <v>2.3636363636363642</v>
      </c>
      <c r="M17" s="66">
        <v>2.1470588235294117</v>
      </c>
      <c r="N17">
        <f>15/14</f>
        <v>1.0714285714285714</v>
      </c>
    </row>
    <row r="18" spans="1:27" x14ac:dyDescent="0.3">
      <c r="A18">
        <f>B17</f>
        <v>15</v>
      </c>
      <c r="B18">
        <f>SUMPRODUCT($B$2:$B$15,B2:B15)</f>
        <v>25</v>
      </c>
      <c r="C18">
        <f t="shared" ref="C18:D18" si="13">SUMPRODUCT($B$2:$B$15,C2:C15)</f>
        <v>5</v>
      </c>
      <c r="D18">
        <f t="shared" si="13"/>
        <v>7</v>
      </c>
      <c r="E18">
        <f>SUMPRODUCT($B$2:$B$15,E2:E15)</f>
        <v>45</v>
      </c>
      <c r="F18">
        <f>SUMPRODUCT($B$2:$B$15,F2:F15)</f>
        <v>5</v>
      </c>
      <c r="G18" s="69">
        <f>SUMPRODUCT($B$2:$B$15,G2:G15)</f>
        <v>11</v>
      </c>
      <c r="I18" t="s">
        <v>54</v>
      </c>
      <c r="J18" s="65">
        <v>-0.73</v>
      </c>
      <c r="K18" s="66">
        <f>T33</f>
        <v>-0.33640287769784172</v>
      </c>
      <c r="L18" s="66">
        <f>AA33</f>
        <v>-0.29454545454545455</v>
      </c>
      <c r="M18" s="66"/>
      <c r="Q18">
        <f>SUMPRODUCT(Q2:Q15,Q2:Q15)</f>
        <v>7.5310000000000006</v>
      </c>
      <c r="R18">
        <f t="shared" ref="R18:U18" si="14">SUMPRODUCT(R2:R15,R2:R15)</f>
        <v>33.18701723513275</v>
      </c>
      <c r="S18">
        <f t="shared" si="14"/>
        <v>34.855867768595033</v>
      </c>
      <c r="T18">
        <f t="shared" si="14"/>
        <v>33.382352941176471</v>
      </c>
      <c r="U18">
        <f t="shared" si="14"/>
        <v>10.928571428571427</v>
      </c>
    </row>
    <row r="19" spans="1:27" x14ac:dyDescent="0.3">
      <c r="A19">
        <f>C17</f>
        <v>6</v>
      </c>
      <c r="B19">
        <f>SUMPRODUCT($C$2:$C$15,B$2:B$15)</f>
        <v>5</v>
      </c>
      <c r="C19">
        <f t="shared" ref="C19:F19" si="15">SUMPRODUCT($C$2:$C$15,C$2:C$15)</f>
        <v>6</v>
      </c>
      <c r="D19">
        <f t="shared" si="15"/>
        <v>5</v>
      </c>
      <c r="E19">
        <f t="shared" si="15"/>
        <v>7</v>
      </c>
      <c r="F19">
        <f t="shared" si="15"/>
        <v>6</v>
      </c>
      <c r="G19" s="69">
        <f>SUMPRODUCT($C$2:$C$15,G$2:G$15)</f>
        <v>6</v>
      </c>
      <c r="I19" t="s">
        <v>55</v>
      </c>
      <c r="J19" s="65">
        <v>-0.14000000000000001</v>
      </c>
      <c r="K19" s="66">
        <f>T38</f>
        <v>-0.23021582733812959</v>
      </c>
      <c r="L19">
        <f>0</f>
        <v>0</v>
      </c>
      <c r="M19" s="66"/>
      <c r="Q19">
        <f>SQRT(Q18/($A$17-Q1+1))</f>
        <v>0.86781334398590582</v>
      </c>
      <c r="R19">
        <f t="shared" ref="R19:U19" si="16">SQRT(R18/($A$17-R1+1))</f>
        <v>1.7369518032548428</v>
      </c>
      <c r="S19">
        <f t="shared" si="16"/>
        <v>1.7043050335497221</v>
      </c>
      <c r="T19">
        <f t="shared" si="16"/>
        <v>1.6024585183921052</v>
      </c>
      <c r="U19">
        <f t="shared" si="16"/>
        <v>0.88352263406092724</v>
      </c>
    </row>
    <row r="20" spans="1:27" x14ac:dyDescent="0.3">
      <c r="A20">
        <f>D17</f>
        <v>5</v>
      </c>
      <c r="B20">
        <f>SUMPRODUCT($D$2:$D$15,B$2:B$15)</f>
        <v>7</v>
      </c>
      <c r="C20">
        <f t="shared" ref="C20:E20" si="17">SUMPRODUCT($D$2:$D$15,C$2:C$15)</f>
        <v>5</v>
      </c>
      <c r="D20">
        <f t="shared" si="17"/>
        <v>7</v>
      </c>
      <c r="E20">
        <f t="shared" si="17"/>
        <v>11</v>
      </c>
      <c r="F20">
        <f>SUMPRODUCT($D$2:$D$15,F$2:F$15)</f>
        <v>5</v>
      </c>
      <c r="G20" s="69">
        <f>SUMPRODUCT($D$2:$D$15,G$2:G$15)</f>
        <v>3</v>
      </c>
      <c r="I20" t="s">
        <v>56</v>
      </c>
      <c r="J20" s="65">
        <v>-0.1</v>
      </c>
      <c r="K20">
        <v>0</v>
      </c>
      <c r="L20">
        <f>0</f>
        <v>0</v>
      </c>
      <c r="M20" s="66"/>
    </row>
    <row r="21" spans="1:27" x14ac:dyDescent="0.3">
      <c r="A21">
        <f>E17</f>
        <v>25</v>
      </c>
      <c r="B21">
        <f>SUMPRODUCT($E$2:$E$15,B$2:B$15)</f>
        <v>45</v>
      </c>
      <c r="C21">
        <f t="shared" ref="C21:F21" si="18">SUMPRODUCT($E$2:$E$15,C$2:C$15)</f>
        <v>7</v>
      </c>
      <c r="D21">
        <f t="shared" si="18"/>
        <v>11</v>
      </c>
      <c r="E21">
        <f t="shared" si="18"/>
        <v>85</v>
      </c>
      <c r="F21">
        <f t="shared" si="18"/>
        <v>7</v>
      </c>
      <c r="G21" s="69">
        <f>SUMPRODUCT($E$2:$E$15,G$2:G$15)</f>
        <v>17</v>
      </c>
      <c r="I21" t="s">
        <v>57</v>
      </c>
      <c r="J21" s="65">
        <v>7.0000000000000007E-2</v>
      </c>
      <c r="K21" s="66">
        <f>T43</f>
        <v>-0.83884892086330931</v>
      </c>
      <c r="L21" s="66">
        <f>AA38</f>
        <v>-0.8545454545454545</v>
      </c>
      <c r="M21" s="66">
        <v>-0.94117647058823528</v>
      </c>
    </row>
    <row r="22" spans="1:27" x14ac:dyDescent="0.3">
      <c r="A22">
        <f>F17</f>
        <v>6</v>
      </c>
      <c r="B22">
        <f>SUMPRODUCT($F$2:$F$15,B$2:B$15)</f>
        <v>5</v>
      </c>
      <c r="C22">
        <f>SUMPRODUCT($F$2:$F$15,C$2:C$15)</f>
        <v>6</v>
      </c>
      <c r="D22">
        <f t="shared" ref="D22:E22" si="19">SUMPRODUCT($F$2:$F$15,D$2:D$15)</f>
        <v>5</v>
      </c>
      <c r="E22">
        <f t="shared" si="19"/>
        <v>7</v>
      </c>
      <c r="F22">
        <f>SUMPRODUCT($F$2:$F$15,F$2:F$15)</f>
        <v>6</v>
      </c>
      <c r="G22" s="69">
        <f>SUMPRODUCT($F$2:$F$15,G$2:G$15)</f>
        <v>6</v>
      </c>
      <c r="I22" t="s">
        <v>58</v>
      </c>
      <c r="J22" s="65">
        <v>-0.14000000000000001</v>
      </c>
      <c r="K22" s="66"/>
      <c r="L22" s="66"/>
      <c r="M22" s="66"/>
    </row>
    <row r="23" spans="1:27" x14ac:dyDescent="0.3">
      <c r="M23">
        <v>14</v>
      </c>
      <c r="N23">
        <v>15</v>
      </c>
      <c r="O23">
        <v>6</v>
      </c>
      <c r="P23">
        <v>16</v>
      </c>
      <c r="Q23">
        <v>15</v>
      </c>
      <c r="R23">
        <f>MDETERM(M23:P26)</f>
        <v>3475</v>
      </c>
      <c r="V23">
        <v>14</v>
      </c>
      <c r="W23">
        <v>15</v>
      </c>
      <c r="X23">
        <v>16</v>
      </c>
      <c r="Y23">
        <v>15</v>
      </c>
      <c r="Z23">
        <f>MDETERM(V23:X25)</f>
        <v>1100</v>
      </c>
    </row>
    <row r="24" spans="1:27" x14ac:dyDescent="0.3">
      <c r="A24">
        <f>G17</f>
        <v>15</v>
      </c>
      <c r="B24">
        <v>15</v>
      </c>
      <c r="C24">
        <v>6</v>
      </c>
      <c r="D24">
        <v>3</v>
      </c>
      <c r="E24">
        <v>16</v>
      </c>
      <c r="H24">
        <f>MDETERM(A24:E28)</f>
        <v>9441.9999999999964</v>
      </c>
      <c r="M24">
        <v>15</v>
      </c>
      <c r="N24">
        <v>25</v>
      </c>
      <c r="O24">
        <v>5</v>
      </c>
      <c r="P24">
        <v>20</v>
      </c>
      <c r="Q24">
        <v>11</v>
      </c>
      <c r="V24">
        <v>15</v>
      </c>
      <c r="W24">
        <v>25</v>
      </c>
      <c r="X24">
        <v>20</v>
      </c>
      <c r="Y24">
        <v>11</v>
      </c>
    </row>
    <row r="25" spans="1:27" x14ac:dyDescent="0.3">
      <c r="A25">
        <f t="shared" ref="A25:A28" si="20">G18</f>
        <v>11</v>
      </c>
      <c r="B25">
        <v>25</v>
      </c>
      <c r="C25">
        <v>5</v>
      </c>
      <c r="D25">
        <v>3</v>
      </c>
      <c r="E25">
        <v>20</v>
      </c>
      <c r="M25">
        <v>6</v>
      </c>
      <c r="N25">
        <v>5</v>
      </c>
      <c r="O25">
        <v>6</v>
      </c>
      <c r="P25">
        <v>7</v>
      </c>
      <c r="Q25">
        <v>6</v>
      </c>
      <c r="V25">
        <v>16</v>
      </c>
      <c r="W25">
        <v>20</v>
      </c>
      <c r="X25">
        <v>28</v>
      </c>
      <c r="Y25">
        <v>8</v>
      </c>
    </row>
    <row r="26" spans="1:27" x14ac:dyDescent="0.3">
      <c r="A26">
        <f t="shared" si="20"/>
        <v>6</v>
      </c>
      <c r="B26">
        <v>5</v>
      </c>
      <c r="C26">
        <v>6</v>
      </c>
      <c r="D26">
        <v>1</v>
      </c>
      <c r="E26">
        <v>7</v>
      </c>
      <c r="M26">
        <v>16</v>
      </c>
      <c r="N26">
        <v>20</v>
      </c>
      <c r="O26">
        <v>7</v>
      </c>
      <c r="P26">
        <v>28</v>
      </c>
      <c r="Q26">
        <v>8</v>
      </c>
    </row>
    <row r="27" spans="1:27" x14ac:dyDescent="0.3">
      <c r="A27">
        <f t="shared" si="20"/>
        <v>3</v>
      </c>
      <c r="B27">
        <v>3</v>
      </c>
      <c r="C27">
        <v>1</v>
      </c>
      <c r="D27">
        <v>3</v>
      </c>
      <c r="E27">
        <v>6</v>
      </c>
    </row>
    <row r="28" spans="1:27" x14ac:dyDescent="0.3">
      <c r="A28">
        <f t="shared" si="20"/>
        <v>17</v>
      </c>
      <c r="B28">
        <v>20</v>
      </c>
      <c r="C28">
        <v>7</v>
      </c>
      <c r="D28">
        <v>6</v>
      </c>
      <c r="E28">
        <v>28</v>
      </c>
      <c r="M28">
        <v>15</v>
      </c>
      <c r="N28">
        <v>15</v>
      </c>
      <c r="O28">
        <v>6</v>
      </c>
      <c r="P28">
        <v>16</v>
      </c>
      <c r="R28">
        <f>MDETERM(M28:P31)</f>
        <v>8650</v>
      </c>
      <c r="T28" s="66">
        <f>R28/$R$23</f>
        <v>2.4892086330935252</v>
      </c>
      <c r="V28">
        <v>15</v>
      </c>
      <c r="W28">
        <v>15</v>
      </c>
      <c r="X28">
        <v>16</v>
      </c>
      <c r="Z28">
        <f>MDETERM(V28:X30)</f>
        <v>2600.0000000000005</v>
      </c>
      <c r="AA28" s="66">
        <f>Z28/$Z$23</f>
        <v>2.3636363636363642</v>
      </c>
    </row>
    <row r="29" spans="1:27" x14ac:dyDescent="0.3">
      <c r="M29">
        <v>11</v>
      </c>
      <c r="N29">
        <v>25</v>
      </c>
      <c r="O29">
        <v>5</v>
      </c>
      <c r="P29">
        <v>20</v>
      </c>
      <c r="T29" s="66"/>
      <c r="V29">
        <v>11</v>
      </c>
      <c r="W29">
        <v>25</v>
      </c>
      <c r="X29">
        <v>20</v>
      </c>
    </row>
    <row r="30" spans="1:27" x14ac:dyDescent="0.3">
      <c r="A30">
        <v>14</v>
      </c>
      <c r="B30">
        <f>G17</f>
        <v>15</v>
      </c>
      <c r="C30">
        <v>6</v>
      </c>
      <c r="D30">
        <v>3</v>
      </c>
      <c r="E30">
        <v>16</v>
      </c>
      <c r="H30">
        <f>MDETERM(A30:E34)</f>
        <v>-4110</v>
      </c>
      <c r="M30">
        <v>6</v>
      </c>
      <c r="N30">
        <v>5</v>
      </c>
      <c r="O30">
        <v>6</v>
      </c>
      <c r="P30">
        <v>7</v>
      </c>
      <c r="T30" s="66"/>
      <c r="V30">
        <v>8</v>
      </c>
      <c r="W30">
        <v>20</v>
      </c>
      <c r="X30">
        <v>28</v>
      </c>
    </row>
    <row r="31" spans="1:27" x14ac:dyDescent="0.3">
      <c r="A31">
        <v>15</v>
      </c>
      <c r="B31">
        <f t="shared" ref="B31:B34" si="21">G18</f>
        <v>11</v>
      </c>
      <c r="C31">
        <v>5</v>
      </c>
      <c r="D31">
        <v>3</v>
      </c>
      <c r="E31">
        <v>20</v>
      </c>
      <c r="M31">
        <v>8</v>
      </c>
      <c r="N31">
        <v>20</v>
      </c>
      <c r="O31">
        <v>7</v>
      </c>
      <c r="P31">
        <v>28</v>
      </c>
      <c r="T31" s="66"/>
    </row>
    <row r="32" spans="1:27" x14ac:dyDescent="0.3">
      <c r="A32">
        <v>6</v>
      </c>
      <c r="B32">
        <f t="shared" si="21"/>
        <v>6</v>
      </c>
      <c r="C32">
        <v>6</v>
      </c>
      <c r="D32">
        <v>1</v>
      </c>
      <c r="E32">
        <v>7</v>
      </c>
      <c r="T32" s="66"/>
    </row>
    <row r="33" spans="1:27" x14ac:dyDescent="0.3">
      <c r="A33">
        <v>3</v>
      </c>
      <c r="B33">
        <f t="shared" si="21"/>
        <v>3</v>
      </c>
      <c r="C33">
        <v>1</v>
      </c>
      <c r="D33">
        <v>3</v>
      </c>
      <c r="E33">
        <v>6</v>
      </c>
      <c r="M33">
        <v>14</v>
      </c>
      <c r="N33">
        <v>15</v>
      </c>
      <c r="O33">
        <v>6</v>
      </c>
      <c r="P33">
        <v>16</v>
      </c>
      <c r="R33">
        <f>MDETERM(M33:P36)</f>
        <v>-1169</v>
      </c>
      <c r="T33" s="66">
        <f>R33/$R$23</f>
        <v>-0.33640287769784172</v>
      </c>
      <c r="V33">
        <v>14</v>
      </c>
      <c r="W33">
        <v>15</v>
      </c>
      <c r="X33">
        <v>16</v>
      </c>
      <c r="Z33">
        <f>MDETERM(V33:X35)</f>
        <v>-324</v>
      </c>
      <c r="AA33" s="66">
        <f>Z33/$Z$23</f>
        <v>-0.29454545454545455</v>
      </c>
    </row>
    <row r="34" spans="1:27" x14ac:dyDescent="0.3">
      <c r="A34">
        <v>16</v>
      </c>
      <c r="B34">
        <f t="shared" si="21"/>
        <v>17</v>
      </c>
      <c r="C34">
        <v>7</v>
      </c>
      <c r="D34">
        <v>6</v>
      </c>
      <c r="E34">
        <v>28</v>
      </c>
      <c r="M34">
        <v>15</v>
      </c>
      <c r="N34">
        <v>11</v>
      </c>
      <c r="O34">
        <v>5</v>
      </c>
      <c r="P34">
        <v>20</v>
      </c>
      <c r="T34" s="66"/>
      <c r="V34">
        <v>15</v>
      </c>
      <c r="W34">
        <v>11</v>
      </c>
      <c r="X34">
        <v>20</v>
      </c>
    </row>
    <row r="35" spans="1:27" x14ac:dyDescent="0.3">
      <c r="M35">
        <v>6</v>
      </c>
      <c r="N35">
        <v>6</v>
      </c>
      <c r="O35">
        <v>6</v>
      </c>
      <c r="P35">
        <v>7</v>
      </c>
      <c r="T35" s="66"/>
      <c r="V35">
        <v>16</v>
      </c>
      <c r="W35">
        <v>8</v>
      </c>
      <c r="X35">
        <v>28</v>
      </c>
    </row>
    <row r="36" spans="1:27" x14ac:dyDescent="0.3">
      <c r="A36">
        <v>14</v>
      </c>
      <c r="B36">
        <v>15</v>
      </c>
      <c r="C36">
        <f>G17</f>
        <v>15</v>
      </c>
      <c r="D36">
        <v>3</v>
      </c>
      <c r="E36">
        <v>16</v>
      </c>
      <c r="H36">
        <f>MDETERM(A36:E40)</f>
        <v>-2730</v>
      </c>
      <c r="M36">
        <v>16</v>
      </c>
      <c r="N36">
        <v>8</v>
      </c>
      <c r="O36">
        <v>7</v>
      </c>
      <c r="P36">
        <v>28</v>
      </c>
      <c r="T36" s="66"/>
    </row>
    <row r="37" spans="1:27" x14ac:dyDescent="0.3">
      <c r="A37">
        <v>15</v>
      </c>
      <c r="B37">
        <v>25</v>
      </c>
      <c r="C37">
        <f t="shared" ref="C37:C40" si="22">G18</f>
        <v>11</v>
      </c>
      <c r="D37">
        <v>3</v>
      </c>
      <c r="E37">
        <v>20</v>
      </c>
      <c r="T37" s="66"/>
    </row>
    <row r="38" spans="1:27" x14ac:dyDescent="0.3">
      <c r="A38">
        <v>6</v>
      </c>
      <c r="B38">
        <v>5</v>
      </c>
      <c r="C38">
        <f t="shared" si="22"/>
        <v>6</v>
      </c>
      <c r="D38">
        <v>1</v>
      </c>
      <c r="E38">
        <v>7</v>
      </c>
      <c r="M38">
        <v>14</v>
      </c>
      <c r="N38">
        <v>15</v>
      </c>
      <c r="O38">
        <v>15</v>
      </c>
      <c r="P38">
        <v>16</v>
      </c>
      <c r="R38">
        <f>MDETERM(M38:P41)</f>
        <v>-800.00000000000034</v>
      </c>
      <c r="T38" s="66">
        <f>R38/$R$23</f>
        <v>-0.23021582733812959</v>
      </c>
      <c r="V38">
        <v>14</v>
      </c>
      <c r="W38">
        <v>15</v>
      </c>
      <c r="X38">
        <v>15</v>
      </c>
      <c r="Z38">
        <f>MDETERM(V38:X40)</f>
        <v>-940</v>
      </c>
      <c r="AA38" s="66">
        <f>Z38/$Z$23</f>
        <v>-0.8545454545454545</v>
      </c>
    </row>
    <row r="39" spans="1:27" x14ac:dyDescent="0.3">
      <c r="A39">
        <v>3</v>
      </c>
      <c r="B39">
        <v>3</v>
      </c>
      <c r="C39">
        <f t="shared" si="22"/>
        <v>3</v>
      </c>
      <c r="D39">
        <v>3</v>
      </c>
      <c r="E39">
        <v>6</v>
      </c>
      <c r="M39">
        <v>15</v>
      </c>
      <c r="N39">
        <v>25</v>
      </c>
      <c r="O39">
        <v>11</v>
      </c>
      <c r="P39">
        <v>20</v>
      </c>
      <c r="T39" s="66"/>
      <c r="V39">
        <v>15</v>
      </c>
      <c r="W39">
        <v>25</v>
      </c>
      <c r="X39">
        <v>11</v>
      </c>
    </row>
    <row r="40" spans="1:27" x14ac:dyDescent="0.3">
      <c r="A40">
        <v>16</v>
      </c>
      <c r="B40">
        <v>20</v>
      </c>
      <c r="C40">
        <f t="shared" si="22"/>
        <v>17</v>
      </c>
      <c r="D40">
        <v>6</v>
      </c>
      <c r="E40">
        <v>28</v>
      </c>
      <c r="M40">
        <v>6</v>
      </c>
      <c r="N40">
        <v>5</v>
      </c>
      <c r="O40">
        <v>6</v>
      </c>
      <c r="P40">
        <v>7</v>
      </c>
      <c r="T40" s="66"/>
      <c r="V40">
        <v>16</v>
      </c>
      <c r="W40">
        <v>20</v>
      </c>
      <c r="X40">
        <v>8</v>
      </c>
    </row>
    <row r="41" spans="1:27" x14ac:dyDescent="0.3">
      <c r="M41">
        <v>16</v>
      </c>
      <c r="N41">
        <v>20</v>
      </c>
      <c r="O41">
        <v>8</v>
      </c>
      <c r="P41">
        <v>28</v>
      </c>
      <c r="T41" s="66"/>
    </row>
    <row r="42" spans="1:27" x14ac:dyDescent="0.3">
      <c r="A42">
        <v>14</v>
      </c>
      <c r="B42">
        <v>15</v>
      </c>
      <c r="C42">
        <v>6</v>
      </c>
      <c r="D42">
        <f>G17</f>
        <v>15</v>
      </c>
      <c r="E42">
        <v>16</v>
      </c>
      <c r="H42">
        <f>MDETERM(A42:E46)</f>
        <v>-3448.0000000000005</v>
      </c>
      <c r="T42" s="66"/>
    </row>
    <row r="43" spans="1:27" x14ac:dyDescent="0.3">
      <c r="A43">
        <v>15</v>
      </c>
      <c r="B43">
        <v>25</v>
      </c>
      <c r="C43">
        <v>5</v>
      </c>
      <c r="D43">
        <f t="shared" ref="D43:D46" si="23">G18</f>
        <v>11</v>
      </c>
      <c r="E43">
        <v>20</v>
      </c>
      <c r="M43">
        <v>14</v>
      </c>
      <c r="N43">
        <v>15</v>
      </c>
      <c r="O43">
        <v>6</v>
      </c>
      <c r="P43">
        <v>15</v>
      </c>
      <c r="R43">
        <f>MDETERM(M43:P46)</f>
        <v>-2915</v>
      </c>
      <c r="T43" s="66">
        <f>R43/$R$23</f>
        <v>-0.83884892086330931</v>
      </c>
    </row>
    <row r="44" spans="1:27" x14ac:dyDescent="0.3">
      <c r="A44">
        <v>6</v>
      </c>
      <c r="B44">
        <v>5</v>
      </c>
      <c r="C44">
        <v>6</v>
      </c>
      <c r="D44">
        <f t="shared" si="23"/>
        <v>6</v>
      </c>
      <c r="E44">
        <v>7</v>
      </c>
      <c r="M44">
        <v>15</v>
      </c>
      <c r="N44">
        <v>25</v>
      </c>
      <c r="O44">
        <v>5</v>
      </c>
      <c r="P44">
        <v>11</v>
      </c>
    </row>
    <row r="45" spans="1:27" x14ac:dyDescent="0.3">
      <c r="A45">
        <v>3</v>
      </c>
      <c r="B45">
        <v>3</v>
      </c>
      <c r="C45">
        <v>1</v>
      </c>
      <c r="D45">
        <f t="shared" si="23"/>
        <v>3</v>
      </c>
      <c r="E45">
        <v>6</v>
      </c>
      <c r="M45">
        <v>6</v>
      </c>
      <c r="N45">
        <v>5</v>
      </c>
      <c r="O45">
        <v>6</v>
      </c>
      <c r="P45">
        <v>6</v>
      </c>
    </row>
    <row r="46" spans="1:27" x14ac:dyDescent="0.3">
      <c r="A46">
        <v>16</v>
      </c>
      <c r="B46">
        <v>20</v>
      </c>
      <c r="C46">
        <v>7</v>
      </c>
      <c r="D46">
        <f t="shared" si="23"/>
        <v>17</v>
      </c>
      <c r="E46">
        <v>28</v>
      </c>
      <c r="M46">
        <v>16</v>
      </c>
      <c r="N46">
        <v>20</v>
      </c>
      <c r="O46">
        <v>7</v>
      </c>
      <c r="P46">
        <v>8</v>
      </c>
    </row>
    <row r="48" spans="1:27" x14ac:dyDescent="0.3">
      <c r="A48">
        <v>14</v>
      </c>
      <c r="B48">
        <v>15</v>
      </c>
      <c r="C48">
        <v>6</v>
      </c>
      <c r="D48">
        <v>3</v>
      </c>
      <c r="E48">
        <f>G17</f>
        <v>15</v>
      </c>
      <c r="H48">
        <f>MDETERM(A48:E52)</f>
        <v>2085.9999999999995</v>
      </c>
    </row>
    <row r="49" spans="1:20" x14ac:dyDescent="0.3">
      <c r="A49">
        <v>15</v>
      </c>
      <c r="B49">
        <v>25</v>
      </c>
      <c r="C49">
        <v>5</v>
      </c>
      <c r="D49">
        <v>3</v>
      </c>
      <c r="E49">
        <f t="shared" ref="E49:E52" si="24">G18</f>
        <v>11</v>
      </c>
    </row>
    <row r="50" spans="1:20" x14ac:dyDescent="0.3">
      <c r="A50">
        <v>6</v>
      </c>
      <c r="B50">
        <v>5</v>
      </c>
      <c r="C50">
        <v>6</v>
      </c>
      <c r="D50">
        <v>1</v>
      </c>
      <c r="E50">
        <f t="shared" si="24"/>
        <v>6</v>
      </c>
      <c r="M50">
        <v>14</v>
      </c>
      <c r="N50">
        <v>16</v>
      </c>
      <c r="O50">
        <v>15</v>
      </c>
      <c r="R50">
        <f>MDETERM(M50:N51)</f>
        <v>136</v>
      </c>
    </row>
    <row r="51" spans="1:20" x14ac:dyDescent="0.3">
      <c r="A51">
        <v>3</v>
      </c>
      <c r="B51">
        <v>3</v>
      </c>
      <c r="C51">
        <v>1</v>
      </c>
      <c r="D51">
        <v>3</v>
      </c>
      <c r="E51">
        <f t="shared" si="24"/>
        <v>3</v>
      </c>
      <c r="M51">
        <v>16</v>
      </c>
      <c r="N51">
        <v>28</v>
      </c>
      <c r="O51">
        <v>8</v>
      </c>
    </row>
    <row r="52" spans="1:20" x14ac:dyDescent="0.3">
      <c r="A52">
        <v>16</v>
      </c>
      <c r="B52">
        <v>20</v>
      </c>
      <c r="C52">
        <v>7</v>
      </c>
      <c r="D52">
        <v>6</v>
      </c>
      <c r="E52">
        <f t="shared" si="24"/>
        <v>17</v>
      </c>
    </row>
    <row r="53" spans="1:20" x14ac:dyDescent="0.3">
      <c r="M53">
        <v>15</v>
      </c>
      <c r="N53">
        <v>16</v>
      </c>
      <c r="R53">
        <f>MDETERM(M53:N54)</f>
        <v>292</v>
      </c>
      <c r="T53">
        <f>R53/R50</f>
        <v>2.1470588235294117</v>
      </c>
    </row>
    <row r="54" spans="1:20" x14ac:dyDescent="0.3">
      <c r="M54">
        <v>8</v>
      </c>
      <c r="N54">
        <v>28</v>
      </c>
    </row>
    <row r="56" spans="1:20" x14ac:dyDescent="0.3">
      <c r="M56">
        <v>14</v>
      </c>
      <c r="N56">
        <v>15</v>
      </c>
      <c r="R56">
        <f>MDETERM(M56:N57)</f>
        <v>-128</v>
      </c>
      <c r="T56">
        <f>R56/R50</f>
        <v>-0.94117647058823528</v>
      </c>
    </row>
    <row r="57" spans="1:20" x14ac:dyDescent="0.3">
      <c r="M57">
        <v>16</v>
      </c>
      <c r="N57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95A6-9CE9-41AC-8E2C-F4D91AB3118D}">
  <dimension ref="A1"/>
  <sheetViews>
    <sheetView workbookViewId="0">
      <selection activeCell="G27" sqref="G2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4CDF-255A-400F-8572-A5A4EB45B0E0}">
  <dimension ref="A1:AO47"/>
  <sheetViews>
    <sheetView zoomScale="84" zoomScaleNormal="130" workbookViewId="0">
      <selection activeCell="K2" sqref="K2"/>
    </sheetView>
  </sheetViews>
  <sheetFormatPr defaultRowHeight="14.4" x14ac:dyDescent="0.3"/>
  <cols>
    <col min="7" max="8" width="4.77734375" customWidth="1"/>
  </cols>
  <sheetData>
    <row r="1" spans="1:41" x14ac:dyDescent="0.3">
      <c r="A1" t="s">
        <v>23</v>
      </c>
      <c r="B1" t="s">
        <v>76</v>
      </c>
      <c r="C1" t="s">
        <v>77</v>
      </c>
      <c r="D1" t="s">
        <v>78</v>
      </c>
      <c r="F1" t="s">
        <v>23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104</v>
      </c>
      <c r="O1" t="s">
        <v>105</v>
      </c>
      <c r="P1" t="s">
        <v>106</v>
      </c>
      <c r="Q1" t="s">
        <v>107</v>
      </c>
      <c r="R1" t="s">
        <v>107</v>
      </c>
      <c r="S1" t="s">
        <v>107</v>
      </c>
      <c r="T1" t="s">
        <v>107</v>
      </c>
      <c r="V1" t="s">
        <v>23</v>
      </c>
      <c r="W1" t="s">
        <v>76</v>
      </c>
      <c r="X1" t="s">
        <v>77</v>
      </c>
      <c r="Y1" t="s">
        <v>78</v>
      </c>
      <c r="AA1" t="s">
        <v>23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104</v>
      </c>
      <c r="AJ1" t="s">
        <v>105</v>
      </c>
      <c r="AK1" t="s">
        <v>106</v>
      </c>
      <c r="AL1" t="s">
        <v>107</v>
      </c>
      <c r="AM1" t="s">
        <v>107</v>
      </c>
      <c r="AN1" t="s">
        <v>107</v>
      </c>
      <c r="AO1" t="s">
        <v>107</v>
      </c>
    </row>
    <row r="2" spans="1:41" x14ac:dyDescent="0.3">
      <c r="A2">
        <v>1</v>
      </c>
      <c r="B2">
        <v>0</v>
      </c>
      <c r="C2">
        <v>0</v>
      </c>
      <c r="D2">
        <f>C2-B2</f>
        <v>0</v>
      </c>
      <c r="F2" s="68">
        <v>1</v>
      </c>
      <c r="G2" s="68">
        <v>1</v>
      </c>
      <c r="H2" s="68">
        <v>2</v>
      </c>
      <c r="I2" s="68">
        <v>14</v>
      </c>
      <c r="J2" s="68">
        <f>INDEX($C$2:$C$11,H2)-INDEX($B$2:$B$11,G2)-I2</f>
        <v>7</v>
      </c>
      <c r="K2" s="68">
        <f t="shared" ref="K2:K18" si="0">INDEX($C$2:$C$11,H2)-INDEX($C$2:$C$11,G2)-I2</f>
        <v>7</v>
      </c>
      <c r="L2" s="68">
        <f t="shared" ref="L2:L18" si="1">INDEX($B$2:$B$11,H2)-INDEX($B$2:$B$11,G2)-I2</f>
        <v>0</v>
      </c>
      <c r="M2" s="68">
        <f t="shared" ref="M2:M18" si="2">INDEX($B$2:$B$11,H2)-INDEX($C$2:$C$11,G2)-I2</f>
        <v>0</v>
      </c>
      <c r="N2">
        <v>16</v>
      </c>
      <c r="O2">
        <v>30</v>
      </c>
      <c r="P2">
        <v>2</v>
      </c>
      <c r="Q2">
        <f t="shared" ref="Q2:Q18" si="3">MIN(N2-I2,J2)*P2</f>
        <v>4</v>
      </c>
      <c r="R2">
        <f t="shared" ref="R2:R18" si="4">MIN(N2-I2,L2)*P2</f>
        <v>0</v>
      </c>
      <c r="S2">
        <f t="shared" ref="S2:S18" si="5">MIN(N2-I2,K2)*P2</f>
        <v>4</v>
      </c>
      <c r="T2">
        <f t="shared" ref="T2:T18" si="6">MIN(N2-I2,M2)*P2</f>
        <v>0</v>
      </c>
      <c r="V2">
        <v>1</v>
      </c>
      <c r="W2">
        <v>0</v>
      </c>
      <c r="X2">
        <v>0</v>
      </c>
      <c r="Y2">
        <f>X2-W2</f>
        <v>0</v>
      </c>
      <c r="AA2" s="68">
        <v>1</v>
      </c>
      <c r="AB2" s="68">
        <v>1</v>
      </c>
      <c r="AC2" s="68">
        <v>2</v>
      </c>
      <c r="AD2" s="68">
        <v>14</v>
      </c>
      <c r="AE2" s="68">
        <f t="shared" ref="AE2:AE18" si="7">INDEX($C$2:$C$11,AC2)-INDEX($B$2:$B$11,AB2)-AD2</f>
        <v>7</v>
      </c>
      <c r="AF2" s="68">
        <f t="shared" ref="AF2:AF18" si="8">INDEX($C$2:$C$11,AC2)-INDEX($C$2:$C$11,AB2)-AD2</f>
        <v>7</v>
      </c>
      <c r="AG2" s="68">
        <f t="shared" ref="AG2:AG18" si="9">INDEX($B$2:$B$11,AC2)-INDEX($B$2:$B$11,AB2)-AD2</f>
        <v>0</v>
      </c>
      <c r="AH2" s="68">
        <f t="shared" ref="AH2:AH18" si="10">INDEX($B$2:$B$11,AC2)-INDEX($C$2:$C$11,AB2)-AD2</f>
        <v>0</v>
      </c>
      <c r="AI2">
        <v>16</v>
      </c>
      <c r="AJ2">
        <v>30</v>
      </c>
      <c r="AK2">
        <v>2</v>
      </c>
      <c r="AL2">
        <f t="shared" ref="AL2:AL18" si="11">MIN(AI2-AD2,AE2)*AK2</f>
        <v>4</v>
      </c>
      <c r="AM2">
        <f t="shared" ref="AM2:AM18" si="12">MIN(AI2-AD2,AG2)*AK2</f>
        <v>0</v>
      </c>
      <c r="AN2">
        <f t="shared" ref="AN2:AN18" si="13">MIN(AI2-AD2,AF2)*AK2</f>
        <v>4</v>
      </c>
      <c r="AO2">
        <f t="shared" ref="AO2:AO12" si="14">MIN(AI2-AD2,AH2)*AK2</f>
        <v>0</v>
      </c>
    </row>
    <row r="3" spans="1:41" x14ac:dyDescent="0.3">
      <c r="A3">
        <v>2</v>
      </c>
      <c r="B3">
        <v>14</v>
      </c>
      <c r="C3">
        <v>21</v>
      </c>
      <c r="D3">
        <f t="shared" ref="D3:D11" si="15">C3-B3</f>
        <v>7</v>
      </c>
      <c r="F3" s="68">
        <v>2</v>
      </c>
      <c r="G3" s="68">
        <v>1</v>
      </c>
      <c r="H3" s="68">
        <v>3</v>
      </c>
      <c r="I3" s="68">
        <v>15</v>
      </c>
      <c r="J3" s="68">
        <f t="shared" ref="J3:J18" si="16">INDEX($C$2:$C$11,H3)-INDEX($B$2:$B$11,G3)-I3</f>
        <v>5</v>
      </c>
      <c r="K3" s="68">
        <f t="shared" si="0"/>
        <v>5</v>
      </c>
      <c r="L3" s="68">
        <f t="shared" si="1"/>
        <v>0</v>
      </c>
      <c r="M3" s="68">
        <f t="shared" si="2"/>
        <v>0</v>
      </c>
      <c r="N3">
        <v>20</v>
      </c>
      <c r="O3">
        <v>40</v>
      </c>
      <c r="P3">
        <v>4</v>
      </c>
      <c r="Q3">
        <f t="shared" si="3"/>
        <v>20</v>
      </c>
      <c r="R3">
        <f t="shared" si="4"/>
        <v>0</v>
      </c>
      <c r="S3">
        <f t="shared" si="5"/>
        <v>20</v>
      </c>
      <c r="T3">
        <f t="shared" si="6"/>
        <v>0</v>
      </c>
      <c r="V3">
        <v>2</v>
      </c>
      <c r="W3">
        <v>14</v>
      </c>
      <c r="X3">
        <v>21</v>
      </c>
      <c r="Y3">
        <f t="shared" ref="Y3:Y11" si="17">X3-W3</f>
        <v>7</v>
      </c>
      <c r="AA3" s="68">
        <v>2</v>
      </c>
      <c r="AB3" s="68">
        <v>1</v>
      </c>
      <c r="AC3" s="68">
        <v>3</v>
      </c>
      <c r="AD3" s="68">
        <v>15</v>
      </c>
      <c r="AE3" s="68">
        <f t="shared" si="7"/>
        <v>5</v>
      </c>
      <c r="AF3" s="68">
        <f t="shared" si="8"/>
        <v>5</v>
      </c>
      <c r="AG3" s="68">
        <f t="shared" si="9"/>
        <v>0</v>
      </c>
      <c r="AH3" s="68">
        <f t="shared" si="10"/>
        <v>0</v>
      </c>
      <c r="AI3">
        <v>20</v>
      </c>
      <c r="AJ3">
        <v>40</v>
      </c>
      <c r="AK3">
        <v>4</v>
      </c>
      <c r="AL3">
        <f t="shared" si="11"/>
        <v>20</v>
      </c>
      <c r="AM3">
        <f t="shared" si="12"/>
        <v>0</v>
      </c>
      <c r="AN3">
        <f t="shared" si="13"/>
        <v>20</v>
      </c>
      <c r="AO3">
        <f t="shared" si="14"/>
        <v>0</v>
      </c>
    </row>
    <row r="4" spans="1:41" x14ac:dyDescent="0.3">
      <c r="A4">
        <v>3</v>
      </c>
      <c r="B4">
        <v>15</v>
      </c>
      <c r="C4">
        <v>20</v>
      </c>
      <c r="D4">
        <f t="shared" si="15"/>
        <v>5</v>
      </c>
      <c r="F4" s="68">
        <v>3</v>
      </c>
      <c r="G4" s="68">
        <v>1</v>
      </c>
      <c r="H4" s="68">
        <v>4</v>
      </c>
      <c r="I4" s="68">
        <v>12</v>
      </c>
      <c r="J4" s="68">
        <f t="shared" si="16"/>
        <v>0</v>
      </c>
      <c r="K4" s="68">
        <f t="shared" si="0"/>
        <v>0</v>
      </c>
      <c r="L4" s="68">
        <f t="shared" si="1"/>
        <v>0</v>
      </c>
      <c r="M4" s="68">
        <f t="shared" si="2"/>
        <v>0</v>
      </c>
      <c r="N4">
        <v>14</v>
      </c>
      <c r="O4">
        <v>80</v>
      </c>
      <c r="P4">
        <v>2</v>
      </c>
      <c r="Q4">
        <f t="shared" si="3"/>
        <v>0</v>
      </c>
      <c r="R4">
        <f t="shared" si="4"/>
        <v>0</v>
      </c>
      <c r="S4">
        <f t="shared" si="5"/>
        <v>0</v>
      </c>
      <c r="T4">
        <f t="shared" si="6"/>
        <v>0</v>
      </c>
      <c r="V4">
        <v>3</v>
      </c>
      <c r="W4">
        <v>15</v>
      </c>
      <c r="X4">
        <v>20</v>
      </c>
      <c r="Y4">
        <f t="shared" si="17"/>
        <v>5</v>
      </c>
      <c r="AA4" s="68">
        <v>3</v>
      </c>
      <c r="AB4" s="68">
        <v>1</v>
      </c>
      <c r="AC4" s="68">
        <v>4</v>
      </c>
      <c r="AD4" s="68">
        <v>12</v>
      </c>
      <c r="AE4" s="68">
        <f t="shared" si="7"/>
        <v>0</v>
      </c>
      <c r="AF4" s="68">
        <f t="shared" si="8"/>
        <v>0</v>
      </c>
      <c r="AG4" s="68">
        <f t="shared" si="9"/>
        <v>0</v>
      </c>
      <c r="AH4" s="68">
        <f t="shared" si="10"/>
        <v>0</v>
      </c>
      <c r="AI4">
        <v>14</v>
      </c>
      <c r="AJ4">
        <v>80</v>
      </c>
      <c r="AK4">
        <v>2</v>
      </c>
      <c r="AL4">
        <f t="shared" si="11"/>
        <v>0</v>
      </c>
      <c r="AM4">
        <f t="shared" si="12"/>
        <v>0</v>
      </c>
      <c r="AN4">
        <f t="shared" si="13"/>
        <v>0</v>
      </c>
      <c r="AO4">
        <f t="shared" si="14"/>
        <v>0</v>
      </c>
    </row>
    <row r="5" spans="1:41" x14ac:dyDescent="0.3">
      <c r="A5">
        <v>4</v>
      </c>
      <c r="B5">
        <v>12</v>
      </c>
      <c r="C5">
        <v>12</v>
      </c>
      <c r="D5">
        <f t="shared" si="15"/>
        <v>0</v>
      </c>
      <c r="F5" s="68">
        <v>4</v>
      </c>
      <c r="G5" s="68">
        <v>2</v>
      </c>
      <c r="H5" s="68">
        <v>5</v>
      </c>
      <c r="I5" s="68">
        <v>18</v>
      </c>
      <c r="J5" s="68">
        <f t="shared" si="16"/>
        <v>7</v>
      </c>
      <c r="K5" s="68">
        <f t="shared" si="0"/>
        <v>0</v>
      </c>
      <c r="L5" s="68">
        <f t="shared" si="1"/>
        <v>7</v>
      </c>
      <c r="M5" s="68">
        <f t="shared" si="2"/>
        <v>0</v>
      </c>
      <c r="N5">
        <v>20</v>
      </c>
      <c r="O5">
        <v>20</v>
      </c>
      <c r="P5">
        <v>1</v>
      </c>
      <c r="Q5">
        <f t="shared" si="3"/>
        <v>2</v>
      </c>
      <c r="R5">
        <f t="shared" si="4"/>
        <v>2</v>
      </c>
      <c r="S5">
        <f t="shared" si="5"/>
        <v>0</v>
      </c>
      <c r="T5">
        <f t="shared" si="6"/>
        <v>0</v>
      </c>
      <c r="V5">
        <v>4</v>
      </c>
      <c r="W5">
        <v>12</v>
      </c>
      <c r="X5">
        <v>12</v>
      </c>
      <c r="Y5">
        <f t="shared" si="17"/>
        <v>0</v>
      </c>
      <c r="AA5" s="68">
        <v>4</v>
      </c>
      <c r="AB5" s="68">
        <v>2</v>
      </c>
      <c r="AC5" s="68">
        <v>5</v>
      </c>
      <c r="AD5" s="68">
        <v>18</v>
      </c>
      <c r="AE5" s="68">
        <f t="shared" si="7"/>
        <v>7</v>
      </c>
      <c r="AF5" s="68">
        <f t="shared" si="8"/>
        <v>0</v>
      </c>
      <c r="AG5" s="68">
        <f t="shared" si="9"/>
        <v>7</v>
      </c>
      <c r="AH5" s="68">
        <f t="shared" si="10"/>
        <v>0</v>
      </c>
      <c r="AI5">
        <v>20</v>
      </c>
      <c r="AJ5">
        <v>20</v>
      </c>
      <c r="AK5">
        <v>1</v>
      </c>
      <c r="AL5">
        <f t="shared" si="11"/>
        <v>2</v>
      </c>
      <c r="AM5">
        <f t="shared" si="12"/>
        <v>2</v>
      </c>
      <c r="AN5">
        <f t="shared" si="13"/>
        <v>0</v>
      </c>
      <c r="AO5">
        <f t="shared" si="14"/>
        <v>0</v>
      </c>
    </row>
    <row r="6" spans="1:41" x14ac:dyDescent="0.3">
      <c r="A6">
        <v>5</v>
      </c>
      <c r="B6">
        <v>39</v>
      </c>
      <c r="C6">
        <v>39</v>
      </c>
      <c r="D6">
        <f t="shared" si="15"/>
        <v>0</v>
      </c>
      <c r="F6" s="68">
        <v>5</v>
      </c>
      <c r="G6" s="68">
        <v>2</v>
      </c>
      <c r="H6" s="68">
        <v>7</v>
      </c>
      <c r="I6" s="68">
        <v>21</v>
      </c>
      <c r="J6" s="68">
        <f t="shared" si="16"/>
        <v>27</v>
      </c>
      <c r="K6" s="68">
        <f t="shared" si="0"/>
        <v>20</v>
      </c>
      <c r="L6" s="68">
        <f t="shared" si="1"/>
        <v>18</v>
      </c>
      <c r="M6" s="68">
        <f t="shared" si="2"/>
        <v>11</v>
      </c>
      <c r="N6">
        <v>23</v>
      </c>
      <c r="O6">
        <v>30</v>
      </c>
      <c r="P6">
        <v>1</v>
      </c>
      <c r="Q6">
        <f t="shared" si="3"/>
        <v>2</v>
      </c>
      <c r="R6">
        <f t="shared" si="4"/>
        <v>2</v>
      </c>
      <c r="S6">
        <f t="shared" si="5"/>
        <v>2</v>
      </c>
      <c r="T6">
        <f t="shared" si="6"/>
        <v>2</v>
      </c>
      <c r="V6">
        <v>5</v>
      </c>
      <c r="W6">
        <v>39</v>
      </c>
      <c r="X6">
        <v>39</v>
      </c>
      <c r="Y6">
        <f t="shared" si="17"/>
        <v>0</v>
      </c>
      <c r="AA6" s="68">
        <v>5</v>
      </c>
      <c r="AB6" s="68">
        <v>2</v>
      </c>
      <c r="AC6" s="68">
        <v>7</v>
      </c>
      <c r="AD6" s="68">
        <v>23</v>
      </c>
      <c r="AE6" s="68">
        <f t="shared" si="7"/>
        <v>25</v>
      </c>
      <c r="AF6" s="68">
        <f t="shared" si="8"/>
        <v>18</v>
      </c>
      <c r="AG6" s="68">
        <f t="shared" si="9"/>
        <v>16</v>
      </c>
      <c r="AH6" s="68">
        <f t="shared" si="10"/>
        <v>9</v>
      </c>
      <c r="AI6">
        <v>23</v>
      </c>
      <c r="AJ6">
        <v>30</v>
      </c>
      <c r="AK6">
        <v>1</v>
      </c>
      <c r="AL6">
        <f t="shared" si="11"/>
        <v>0</v>
      </c>
      <c r="AM6">
        <f t="shared" si="12"/>
        <v>0</v>
      </c>
      <c r="AN6">
        <f t="shared" si="13"/>
        <v>0</v>
      </c>
      <c r="AO6">
        <f t="shared" si="14"/>
        <v>0</v>
      </c>
    </row>
    <row r="7" spans="1:41" x14ac:dyDescent="0.3">
      <c r="A7">
        <v>6</v>
      </c>
      <c r="B7">
        <v>26</v>
      </c>
      <c r="C7">
        <v>47</v>
      </c>
      <c r="D7">
        <f t="shared" si="15"/>
        <v>21</v>
      </c>
      <c r="F7" s="68">
        <v>6</v>
      </c>
      <c r="G7" s="68">
        <v>3</v>
      </c>
      <c r="H7" s="68">
        <v>5</v>
      </c>
      <c r="I7" s="68">
        <v>19</v>
      </c>
      <c r="J7" s="68">
        <f t="shared" si="16"/>
        <v>5</v>
      </c>
      <c r="K7" s="68">
        <f t="shared" si="0"/>
        <v>0</v>
      </c>
      <c r="L7" s="68">
        <f t="shared" si="1"/>
        <v>5</v>
      </c>
      <c r="M7" s="68">
        <f t="shared" si="2"/>
        <v>0</v>
      </c>
      <c r="N7">
        <v>25</v>
      </c>
      <c r="O7">
        <v>50</v>
      </c>
      <c r="P7">
        <v>3</v>
      </c>
      <c r="Q7">
        <f t="shared" si="3"/>
        <v>15</v>
      </c>
      <c r="R7">
        <f t="shared" si="4"/>
        <v>15</v>
      </c>
      <c r="S7">
        <f t="shared" si="5"/>
        <v>0</v>
      </c>
      <c r="T7">
        <f t="shared" si="6"/>
        <v>0</v>
      </c>
      <c r="V7">
        <v>6</v>
      </c>
      <c r="W7">
        <v>26</v>
      </c>
      <c r="X7">
        <v>47</v>
      </c>
      <c r="Y7">
        <f t="shared" si="17"/>
        <v>21</v>
      </c>
      <c r="AA7" s="68">
        <v>6</v>
      </c>
      <c r="AB7" s="68">
        <v>3</v>
      </c>
      <c r="AC7" s="68">
        <v>5</v>
      </c>
      <c r="AD7" s="68">
        <v>19</v>
      </c>
      <c r="AE7" s="68">
        <f t="shared" si="7"/>
        <v>5</v>
      </c>
      <c r="AF7" s="68">
        <f t="shared" si="8"/>
        <v>0</v>
      </c>
      <c r="AG7" s="68">
        <f t="shared" si="9"/>
        <v>5</v>
      </c>
      <c r="AH7" s="68">
        <f t="shared" si="10"/>
        <v>0</v>
      </c>
      <c r="AI7">
        <v>25</v>
      </c>
      <c r="AJ7">
        <v>50</v>
      </c>
      <c r="AK7">
        <v>3</v>
      </c>
      <c r="AL7">
        <f t="shared" si="11"/>
        <v>15</v>
      </c>
      <c r="AM7">
        <f t="shared" si="12"/>
        <v>15</v>
      </c>
      <c r="AN7">
        <f t="shared" si="13"/>
        <v>0</v>
      </c>
      <c r="AO7">
        <f t="shared" si="14"/>
        <v>0</v>
      </c>
    </row>
    <row r="8" spans="1:41" x14ac:dyDescent="0.3">
      <c r="A8">
        <v>7</v>
      </c>
      <c r="B8">
        <v>53</v>
      </c>
      <c r="C8">
        <v>62</v>
      </c>
      <c r="D8">
        <f t="shared" si="15"/>
        <v>9</v>
      </c>
      <c r="F8" s="68">
        <v>7</v>
      </c>
      <c r="G8" s="68">
        <v>4</v>
      </c>
      <c r="H8" s="68">
        <v>5</v>
      </c>
      <c r="I8" s="68">
        <v>27</v>
      </c>
      <c r="J8" s="68">
        <f t="shared" si="16"/>
        <v>0</v>
      </c>
      <c r="K8" s="68">
        <f t="shared" si="0"/>
        <v>0</v>
      </c>
      <c r="L8" s="68">
        <f t="shared" si="1"/>
        <v>0</v>
      </c>
      <c r="M8" s="68">
        <f t="shared" si="2"/>
        <v>0</v>
      </c>
      <c r="N8">
        <v>31</v>
      </c>
      <c r="O8">
        <v>60</v>
      </c>
      <c r="P8">
        <v>1</v>
      </c>
      <c r="Q8">
        <f t="shared" si="3"/>
        <v>0</v>
      </c>
      <c r="R8">
        <f t="shared" si="4"/>
        <v>0</v>
      </c>
      <c r="S8">
        <f t="shared" si="5"/>
        <v>0</v>
      </c>
      <c r="T8">
        <f t="shared" si="6"/>
        <v>0</v>
      </c>
      <c r="V8">
        <v>7</v>
      </c>
      <c r="W8">
        <v>53</v>
      </c>
      <c r="X8">
        <v>62</v>
      </c>
      <c r="Y8">
        <f t="shared" si="17"/>
        <v>9</v>
      </c>
      <c r="AA8" s="68">
        <v>7</v>
      </c>
      <c r="AB8" s="68">
        <v>4</v>
      </c>
      <c r="AC8" s="68">
        <v>5</v>
      </c>
      <c r="AD8" s="68">
        <v>27</v>
      </c>
      <c r="AE8" s="68">
        <f t="shared" si="7"/>
        <v>0</v>
      </c>
      <c r="AF8" s="68">
        <f t="shared" si="8"/>
        <v>0</v>
      </c>
      <c r="AG8" s="68">
        <f t="shared" si="9"/>
        <v>0</v>
      </c>
      <c r="AH8" s="68">
        <f t="shared" si="10"/>
        <v>0</v>
      </c>
      <c r="AI8">
        <v>31</v>
      </c>
      <c r="AJ8">
        <v>60</v>
      </c>
      <c r="AK8">
        <v>1</v>
      </c>
      <c r="AL8">
        <f t="shared" si="11"/>
        <v>0</v>
      </c>
      <c r="AM8">
        <f t="shared" si="12"/>
        <v>0</v>
      </c>
      <c r="AN8">
        <f t="shared" si="13"/>
        <v>0</v>
      </c>
      <c r="AO8">
        <f t="shared" si="14"/>
        <v>0</v>
      </c>
    </row>
    <row r="9" spans="1:41" x14ac:dyDescent="0.3">
      <c r="A9">
        <v>8</v>
      </c>
      <c r="B9">
        <v>55</v>
      </c>
      <c r="C9">
        <v>55</v>
      </c>
      <c r="D9">
        <f t="shared" si="15"/>
        <v>0</v>
      </c>
      <c r="F9" s="68">
        <v>8</v>
      </c>
      <c r="G9" s="68">
        <v>4</v>
      </c>
      <c r="H9" s="68">
        <v>6</v>
      </c>
      <c r="I9" s="68">
        <v>14</v>
      </c>
      <c r="J9" s="68">
        <f t="shared" si="16"/>
        <v>21</v>
      </c>
      <c r="K9" s="68">
        <f t="shared" si="0"/>
        <v>21</v>
      </c>
      <c r="L9" s="68">
        <f t="shared" si="1"/>
        <v>0</v>
      </c>
      <c r="M9" s="68">
        <f t="shared" si="2"/>
        <v>0</v>
      </c>
      <c r="N9">
        <v>20</v>
      </c>
      <c r="O9">
        <v>70</v>
      </c>
      <c r="P9">
        <v>1</v>
      </c>
      <c r="Q9">
        <f t="shared" si="3"/>
        <v>6</v>
      </c>
      <c r="R9">
        <f t="shared" si="4"/>
        <v>0</v>
      </c>
      <c r="S9">
        <f t="shared" si="5"/>
        <v>6</v>
      </c>
      <c r="T9">
        <f t="shared" si="6"/>
        <v>0</v>
      </c>
      <c r="V9">
        <v>8</v>
      </c>
      <c r="W9">
        <v>55</v>
      </c>
      <c r="X9">
        <v>55</v>
      </c>
      <c r="Y9">
        <f t="shared" si="17"/>
        <v>0</v>
      </c>
      <c r="AA9" s="68">
        <v>8</v>
      </c>
      <c r="AB9" s="68">
        <v>4</v>
      </c>
      <c r="AC9" s="68">
        <v>6</v>
      </c>
      <c r="AD9" s="68">
        <v>14</v>
      </c>
      <c r="AE9" s="68">
        <f t="shared" si="7"/>
        <v>21</v>
      </c>
      <c r="AF9" s="68">
        <f t="shared" si="8"/>
        <v>21</v>
      </c>
      <c r="AG9" s="68">
        <f t="shared" si="9"/>
        <v>0</v>
      </c>
      <c r="AH9" s="68">
        <f t="shared" si="10"/>
        <v>0</v>
      </c>
      <c r="AI9">
        <v>20</v>
      </c>
      <c r="AJ9">
        <v>70</v>
      </c>
      <c r="AK9">
        <v>1</v>
      </c>
      <c r="AL9">
        <f t="shared" si="11"/>
        <v>6</v>
      </c>
      <c r="AM9">
        <f t="shared" si="12"/>
        <v>0</v>
      </c>
      <c r="AN9">
        <f t="shared" si="13"/>
        <v>6</v>
      </c>
      <c r="AO9">
        <f t="shared" si="14"/>
        <v>0</v>
      </c>
    </row>
    <row r="10" spans="1:41" x14ac:dyDescent="0.3">
      <c r="A10">
        <v>9</v>
      </c>
      <c r="B10">
        <v>43</v>
      </c>
      <c r="C10">
        <v>64</v>
      </c>
      <c r="D10">
        <f t="shared" si="15"/>
        <v>21</v>
      </c>
      <c r="F10" s="68">
        <v>9</v>
      </c>
      <c r="G10" s="68">
        <v>4</v>
      </c>
      <c r="H10" s="68">
        <v>9</v>
      </c>
      <c r="I10" s="68">
        <v>31</v>
      </c>
      <c r="J10" s="68">
        <f t="shared" si="16"/>
        <v>21</v>
      </c>
      <c r="K10" s="68">
        <f t="shared" si="0"/>
        <v>21</v>
      </c>
      <c r="L10" s="68">
        <f t="shared" si="1"/>
        <v>0</v>
      </c>
      <c r="M10" s="68">
        <f t="shared" si="2"/>
        <v>0</v>
      </c>
      <c r="N10">
        <v>33</v>
      </c>
      <c r="O10">
        <v>10</v>
      </c>
      <c r="P10">
        <v>2</v>
      </c>
      <c r="Q10">
        <f t="shared" si="3"/>
        <v>4</v>
      </c>
      <c r="R10">
        <f t="shared" si="4"/>
        <v>0</v>
      </c>
      <c r="S10">
        <f t="shared" si="5"/>
        <v>4</v>
      </c>
      <c r="T10">
        <f t="shared" si="6"/>
        <v>0</v>
      </c>
      <c r="V10">
        <v>9</v>
      </c>
      <c r="W10">
        <v>43</v>
      </c>
      <c r="X10">
        <v>64</v>
      </c>
      <c r="Y10">
        <f t="shared" si="17"/>
        <v>21</v>
      </c>
      <c r="AA10" s="68">
        <v>9</v>
      </c>
      <c r="AB10" s="68">
        <v>4</v>
      </c>
      <c r="AC10" s="68">
        <v>9</v>
      </c>
      <c r="AD10" s="68">
        <v>31</v>
      </c>
      <c r="AE10" s="68">
        <f t="shared" si="7"/>
        <v>21</v>
      </c>
      <c r="AF10" s="68">
        <f t="shared" si="8"/>
        <v>21</v>
      </c>
      <c r="AG10" s="68">
        <f t="shared" si="9"/>
        <v>0</v>
      </c>
      <c r="AH10" s="68">
        <f t="shared" si="10"/>
        <v>0</v>
      </c>
      <c r="AI10">
        <v>33</v>
      </c>
      <c r="AJ10">
        <v>10</v>
      </c>
      <c r="AK10">
        <v>2</v>
      </c>
      <c r="AL10">
        <f t="shared" si="11"/>
        <v>4</v>
      </c>
      <c r="AM10">
        <f t="shared" si="12"/>
        <v>0</v>
      </c>
      <c r="AN10">
        <f t="shared" si="13"/>
        <v>4</v>
      </c>
      <c r="AO10">
        <f t="shared" si="14"/>
        <v>0</v>
      </c>
    </row>
    <row r="11" spans="1:41" x14ac:dyDescent="0.3">
      <c r="A11">
        <v>10</v>
      </c>
      <c r="B11">
        <v>93</v>
      </c>
      <c r="C11">
        <v>93</v>
      </c>
      <c r="D11">
        <f t="shared" si="15"/>
        <v>0</v>
      </c>
      <c r="F11" s="68">
        <v>10</v>
      </c>
      <c r="G11" s="68">
        <v>5</v>
      </c>
      <c r="H11" s="68">
        <v>7</v>
      </c>
      <c r="I11" s="68">
        <v>14</v>
      </c>
      <c r="J11" s="68">
        <f t="shared" si="16"/>
        <v>9</v>
      </c>
      <c r="K11" s="68">
        <f t="shared" si="0"/>
        <v>9</v>
      </c>
      <c r="L11" s="68">
        <f t="shared" si="1"/>
        <v>0</v>
      </c>
      <c r="M11" s="68">
        <f t="shared" si="2"/>
        <v>0</v>
      </c>
      <c r="N11">
        <v>16</v>
      </c>
      <c r="O11">
        <v>20</v>
      </c>
      <c r="P11">
        <v>4</v>
      </c>
      <c r="Q11">
        <f t="shared" si="3"/>
        <v>8</v>
      </c>
      <c r="R11">
        <f t="shared" si="4"/>
        <v>0</v>
      </c>
      <c r="S11">
        <f t="shared" si="5"/>
        <v>8</v>
      </c>
      <c r="T11">
        <f t="shared" si="6"/>
        <v>0</v>
      </c>
      <c r="V11">
        <v>10</v>
      </c>
      <c r="W11">
        <v>93</v>
      </c>
      <c r="X11">
        <v>93</v>
      </c>
      <c r="Y11">
        <f t="shared" si="17"/>
        <v>0</v>
      </c>
      <c r="AA11" s="68">
        <v>10</v>
      </c>
      <c r="AB11" s="68">
        <v>5</v>
      </c>
      <c r="AC11" s="68">
        <v>7</v>
      </c>
      <c r="AD11" s="68">
        <v>14</v>
      </c>
      <c r="AE11" s="68">
        <f t="shared" si="7"/>
        <v>9</v>
      </c>
      <c r="AF11" s="68">
        <f t="shared" si="8"/>
        <v>9</v>
      </c>
      <c r="AG11" s="68">
        <f t="shared" si="9"/>
        <v>0</v>
      </c>
      <c r="AH11" s="68">
        <f t="shared" si="10"/>
        <v>0</v>
      </c>
      <c r="AI11">
        <v>16</v>
      </c>
      <c r="AJ11">
        <v>20</v>
      </c>
      <c r="AK11">
        <v>4</v>
      </c>
      <c r="AL11">
        <f t="shared" si="11"/>
        <v>8</v>
      </c>
      <c r="AM11">
        <f t="shared" si="12"/>
        <v>0</v>
      </c>
      <c r="AN11">
        <f t="shared" si="13"/>
        <v>8</v>
      </c>
      <c r="AO11">
        <f t="shared" si="14"/>
        <v>0</v>
      </c>
    </row>
    <row r="12" spans="1:41" x14ac:dyDescent="0.3">
      <c r="F12" s="68">
        <v>11</v>
      </c>
      <c r="G12" s="68">
        <v>5</v>
      </c>
      <c r="H12" s="68">
        <v>8</v>
      </c>
      <c r="I12" s="68">
        <v>16</v>
      </c>
      <c r="J12" s="68">
        <f t="shared" si="16"/>
        <v>0</v>
      </c>
      <c r="K12" s="68">
        <f t="shared" si="0"/>
        <v>0</v>
      </c>
      <c r="L12" s="68">
        <f t="shared" si="1"/>
        <v>0</v>
      </c>
      <c r="M12" s="68">
        <f t="shared" si="2"/>
        <v>0</v>
      </c>
      <c r="N12">
        <v>18</v>
      </c>
      <c r="O12">
        <v>80</v>
      </c>
      <c r="P12">
        <v>2</v>
      </c>
      <c r="Q12">
        <f t="shared" si="3"/>
        <v>0</v>
      </c>
      <c r="R12">
        <f t="shared" si="4"/>
        <v>0</v>
      </c>
      <c r="S12">
        <f t="shared" si="5"/>
        <v>0</v>
      </c>
      <c r="T12">
        <f t="shared" si="6"/>
        <v>0</v>
      </c>
      <c r="AA12" s="68">
        <v>11</v>
      </c>
      <c r="AB12" s="68">
        <v>5</v>
      </c>
      <c r="AC12" s="68">
        <v>8</v>
      </c>
      <c r="AD12" s="68">
        <v>16</v>
      </c>
      <c r="AE12" s="68">
        <f t="shared" si="7"/>
        <v>0</v>
      </c>
      <c r="AF12" s="68">
        <f t="shared" si="8"/>
        <v>0</v>
      </c>
      <c r="AG12" s="68">
        <f t="shared" si="9"/>
        <v>0</v>
      </c>
      <c r="AH12" s="68">
        <f t="shared" si="10"/>
        <v>0</v>
      </c>
      <c r="AI12">
        <v>18</v>
      </c>
      <c r="AJ12">
        <v>80</v>
      </c>
      <c r="AK12">
        <v>2</v>
      </c>
      <c r="AL12">
        <f t="shared" si="11"/>
        <v>0</v>
      </c>
      <c r="AM12">
        <f t="shared" si="12"/>
        <v>0</v>
      </c>
      <c r="AN12">
        <f t="shared" si="13"/>
        <v>0</v>
      </c>
      <c r="AO12">
        <f t="shared" si="14"/>
        <v>0</v>
      </c>
    </row>
    <row r="13" spans="1:41" x14ac:dyDescent="0.3">
      <c r="F13" s="68">
        <v>12</v>
      </c>
      <c r="G13" s="68">
        <v>6</v>
      </c>
      <c r="H13" s="68">
        <v>7</v>
      </c>
      <c r="I13" s="68">
        <v>15</v>
      </c>
      <c r="J13" s="68">
        <f t="shared" si="16"/>
        <v>21</v>
      </c>
      <c r="K13" s="68">
        <f t="shared" si="0"/>
        <v>0</v>
      </c>
      <c r="L13" s="68">
        <f t="shared" si="1"/>
        <v>12</v>
      </c>
      <c r="M13" s="68">
        <f t="shared" si="2"/>
        <v>-9</v>
      </c>
      <c r="N13">
        <v>19</v>
      </c>
      <c r="O13">
        <v>70</v>
      </c>
      <c r="P13">
        <v>5</v>
      </c>
      <c r="Q13">
        <f t="shared" si="3"/>
        <v>20</v>
      </c>
      <c r="R13">
        <f t="shared" si="4"/>
        <v>20</v>
      </c>
      <c r="S13">
        <f t="shared" si="5"/>
        <v>0</v>
      </c>
      <c r="T13">
        <v>0</v>
      </c>
      <c r="AA13" s="68">
        <v>12</v>
      </c>
      <c r="AB13" s="68">
        <v>6</v>
      </c>
      <c r="AC13" s="68">
        <v>7</v>
      </c>
      <c r="AD13" s="68">
        <v>15</v>
      </c>
      <c r="AE13" s="68">
        <f t="shared" si="7"/>
        <v>21</v>
      </c>
      <c r="AF13" s="68">
        <f t="shared" si="8"/>
        <v>0</v>
      </c>
      <c r="AG13" s="68">
        <f t="shared" si="9"/>
        <v>12</v>
      </c>
      <c r="AH13" s="68">
        <f t="shared" si="10"/>
        <v>-9</v>
      </c>
      <c r="AI13">
        <v>19</v>
      </c>
      <c r="AJ13">
        <v>70</v>
      </c>
      <c r="AK13">
        <v>5</v>
      </c>
      <c r="AL13">
        <f t="shared" si="11"/>
        <v>20</v>
      </c>
      <c r="AM13">
        <f t="shared" si="12"/>
        <v>20</v>
      </c>
      <c r="AN13">
        <f t="shared" si="13"/>
        <v>0</v>
      </c>
      <c r="AO13">
        <v>0</v>
      </c>
    </row>
    <row r="14" spans="1:41" x14ac:dyDescent="0.3">
      <c r="F14" s="68">
        <v>13</v>
      </c>
      <c r="G14" s="68">
        <v>6</v>
      </c>
      <c r="H14" s="68">
        <v>8</v>
      </c>
      <c r="I14" s="68">
        <v>8</v>
      </c>
      <c r="J14" s="68">
        <f t="shared" si="16"/>
        <v>21</v>
      </c>
      <c r="K14" s="68">
        <f t="shared" si="0"/>
        <v>0</v>
      </c>
      <c r="L14" s="68">
        <f t="shared" si="1"/>
        <v>21</v>
      </c>
      <c r="M14" s="68">
        <f t="shared" si="2"/>
        <v>0</v>
      </c>
      <c r="N14">
        <v>10</v>
      </c>
      <c r="O14">
        <v>90</v>
      </c>
      <c r="P14">
        <v>1</v>
      </c>
      <c r="Q14">
        <f t="shared" si="3"/>
        <v>2</v>
      </c>
      <c r="R14">
        <f t="shared" si="4"/>
        <v>2</v>
      </c>
      <c r="S14">
        <f t="shared" si="5"/>
        <v>0</v>
      </c>
      <c r="T14">
        <f t="shared" si="6"/>
        <v>0</v>
      </c>
      <c r="AA14" s="68">
        <v>13</v>
      </c>
      <c r="AB14" s="68">
        <v>6</v>
      </c>
      <c r="AC14" s="68">
        <v>8</v>
      </c>
      <c r="AD14" s="68">
        <v>8</v>
      </c>
      <c r="AE14" s="68">
        <f t="shared" si="7"/>
        <v>21</v>
      </c>
      <c r="AF14" s="68">
        <f t="shared" si="8"/>
        <v>0</v>
      </c>
      <c r="AG14" s="68">
        <f t="shared" si="9"/>
        <v>21</v>
      </c>
      <c r="AH14" s="68">
        <f t="shared" si="10"/>
        <v>0</v>
      </c>
      <c r="AI14">
        <v>10</v>
      </c>
      <c r="AJ14">
        <v>90</v>
      </c>
      <c r="AK14">
        <v>1</v>
      </c>
      <c r="AL14">
        <f t="shared" si="11"/>
        <v>2</v>
      </c>
      <c r="AM14">
        <f t="shared" si="12"/>
        <v>2</v>
      </c>
      <c r="AN14">
        <f t="shared" si="13"/>
        <v>0</v>
      </c>
      <c r="AO14">
        <f t="shared" ref="AO14" si="18">MIN(AI14-AD14,AH14)*AK14</f>
        <v>0</v>
      </c>
    </row>
    <row r="15" spans="1:41" x14ac:dyDescent="0.3">
      <c r="F15" s="68">
        <v>14</v>
      </c>
      <c r="G15" s="68">
        <v>6</v>
      </c>
      <c r="H15" s="68">
        <v>9</v>
      </c>
      <c r="I15" s="68">
        <v>12</v>
      </c>
      <c r="J15" s="68">
        <f t="shared" si="16"/>
        <v>26</v>
      </c>
      <c r="K15" s="68">
        <f t="shared" si="0"/>
        <v>5</v>
      </c>
      <c r="L15" s="68">
        <f t="shared" si="1"/>
        <v>5</v>
      </c>
      <c r="M15" s="68">
        <f t="shared" si="2"/>
        <v>-16</v>
      </c>
      <c r="N15">
        <v>14</v>
      </c>
      <c r="O15">
        <v>80</v>
      </c>
      <c r="P15">
        <v>1</v>
      </c>
      <c r="Q15">
        <f t="shared" si="3"/>
        <v>2</v>
      </c>
      <c r="R15">
        <f t="shared" si="4"/>
        <v>2</v>
      </c>
      <c r="S15">
        <f t="shared" si="5"/>
        <v>2</v>
      </c>
      <c r="T15">
        <v>0</v>
      </c>
      <c r="AA15" s="68">
        <v>14</v>
      </c>
      <c r="AB15" s="68">
        <v>6</v>
      </c>
      <c r="AC15" s="68">
        <v>9</v>
      </c>
      <c r="AD15" s="68">
        <v>12</v>
      </c>
      <c r="AE15" s="68">
        <f t="shared" si="7"/>
        <v>26</v>
      </c>
      <c r="AF15" s="68">
        <f t="shared" si="8"/>
        <v>5</v>
      </c>
      <c r="AG15" s="68">
        <f t="shared" si="9"/>
        <v>5</v>
      </c>
      <c r="AH15" s="68">
        <f t="shared" si="10"/>
        <v>-16</v>
      </c>
      <c r="AI15">
        <v>14</v>
      </c>
      <c r="AJ15">
        <v>80</v>
      </c>
      <c r="AK15">
        <v>1</v>
      </c>
      <c r="AL15">
        <f t="shared" si="11"/>
        <v>2</v>
      </c>
      <c r="AM15">
        <f t="shared" si="12"/>
        <v>2</v>
      </c>
      <c r="AN15">
        <f t="shared" si="13"/>
        <v>2</v>
      </c>
      <c r="AO15">
        <v>0</v>
      </c>
    </row>
    <row r="16" spans="1:41" x14ac:dyDescent="0.3">
      <c r="F16" s="68">
        <v>15</v>
      </c>
      <c r="G16" s="68">
        <v>7</v>
      </c>
      <c r="H16" s="68">
        <v>10</v>
      </c>
      <c r="I16" s="68">
        <v>31</v>
      </c>
      <c r="J16" s="68">
        <f t="shared" si="16"/>
        <v>9</v>
      </c>
      <c r="K16" s="68">
        <f t="shared" si="0"/>
        <v>0</v>
      </c>
      <c r="L16" s="68">
        <f t="shared" si="1"/>
        <v>9</v>
      </c>
      <c r="M16" s="68">
        <f t="shared" si="2"/>
        <v>0</v>
      </c>
      <c r="N16">
        <v>35</v>
      </c>
      <c r="O16">
        <v>50</v>
      </c>
      <c r="P16">
        <v>2</v>
      </c>
      <c r="Q16">
        <f t="shared" si="3"/>
        <v>8</v>
      </c>
      <c r="R16">
        <f t="shared" si="4"/>
        <v>8</v>
      </c>
      <c r="S16">
        <f t="shared" si="5"/>
        <v>0</v>
      </c>
      <c r="T16">
        <f t="shared" si="6"/>
        <v>0</v>
      </c>
      <c r="AA16" s="68">
        <v>15</v>
      </c>
      <c r="AB16" s="68">
        <v>7</v>
      </c>
      <c r="AC16" s="68">
        <v>10</v>
      </c>
      <c r="AD16" s="68">
        <v>31</v>
      </c>
      <c r="AE16" s="68">
        <f t="shared" si="7"/>
        <v>9</v>
      </c>
      <c r="AF16" s="68">
        <f t="shared" si="8"/>
        <v>0</v>
      </c>
      <c r="AG16" s="68">
        <f t="shared" si="9"/>
        <v>9</v>
      </c>
      <c r="AH16" s="68">
        <f t="shared" si="10"/>
        <v>0</v>
      </c>
      <c r="AI16">
        <v>35</v>
      </c>
      <c r="AJ16">
        <v>50</v>
      </c>
      <c r="AK16">
        <v>2</v>
      </c>
      <c r="AL16">
        <f t="shared" si="11"/>
        <v>8</v>
      </c>
      <c r="AM16">
        <f t="shared" si="12"/>
        <v>8</v>
      </c>
      <c r="AN16">
        <f t="shared" si="13"/>
        <v>0</v>
      </c>
      <c r="AO16">
        <f t="shared" ref="AO16:AO18" si="19">MIN(AI16-AD16,AH16)*AK16</f>
        <v>0</v>
      </c>
    </row>
    <row r="17" spans="1:41" x14ac:dyDescent="0.3">
      <c r="F17" s="68">
        <v>16</v>
      </c>
      <c r="G17" s="68">
        <v>8</v>
      </c>
      <c r="H17" s="68">
        <v>10</v>
      </c>
      <c r="I17" s="68">
        <v>38</v>
      </c>
      <c r="J17" s="68">
        <f t="shared" si="16"/>
        <v>0</v>
      </c>
      <c r="K17" s="68">
        <f t="shared" si="0"/>
        <v>0</v>
      </c>
      <c r="L17" s="68">
        <f t="shared" si="1"/>
        <v>0</v>
      </c>
      <c r="M17" s="68">
        <f t="shared" si="2"/>
        <v>0</v>
      </c>
      <c r="N17">
        <v>40</v>
      </c>
      <c r="O17">
        <v>30</v>
      </c>
      <c r="P17">
        <v>3</v>
      </c>
      <c r="Q17">
        <f t="shared" si="3"/>
        <v>0</v>
      </c>
      <c r="R17">
        <f t="shared" si="4"/>
        <v>0</v>
      </c>
      <c r="S17">
        <f t="shared" si="5"/>
        <v>0</v>
      </c>
      <c r="T17">
        <f t="shared" si="6"/>
        <v>0</v>
      </c>
      <c r="AA17" s="68">
        <v>16</v>
      </c>
      <c r="AB17" s="68">
        <v>8</v>
      </c>
      <c r="AC17" s="68">
        <v>10</v>
      </c>
      <c r="AD17" s="68">
        <v>38</v>
      </c>
      <c r="AE17" s="68">
        <f t="shared" si="7"/>
        <v>0</v>
      </c>
      <c r="AF17" s="68">
        <f t="shared" si="8"/>
        <v>0</v>
      </c>
      <c r="AG17" s="68">
        <f t="shared" si="9"/>
        <v>0</v>
      </c>
      <c r="AH17" s="68">
        <f t="shared" si="10"/>
        <v>0</v>
      </c>
      <c r="AI17">
        <v>40</v>
      </c>
      <c r="AJ17">
        <v>30</v>
      </c>
      <c r="AK17">
        <v>3</v>
      </c>
      <c r="AL17">
        <f t="shared" si="11"/>
        <v>0</v>
      </c>
      <c r="AM17">
        <f t="shared" si="12"/>
        <v>0</v>
      </c>
      <c r="AN17">
        <f t="shared" si="13"/>
        <v>0</v>
      </c>
      <c r="AO17">
        <f t="shared" si="19"/>
        <v>0</v>
      </c>
    </row>
    <row r="18" spans="1:41" x14ac:dyDescent="0.3">
      <c r="F18" s="68">
        <v>17</v>
      </c>
      <c r="G18" s="68">
        <v>9</v>
      </c>
      <c r="H18" s="68">
        <v>10</v>
      </c>
      <c r="I18" s="68">
        <v>29</v>
      </c>
      <c r="J18" s="68">
        <f t="shared" si="16"/>
        <v>21</v>
      </c>
      <c r="K18" s="68">
        <f t="shared" si="0"/>
        <v>0</v>
      </c>
      <c r="L18" s="68">
        <f t="shared" si="1"/>
        <v>21</v>
      </c>
      <c r="M18" s="68">
        <f t="shared" si="2"/>
        <v>0</v>
      </c>
      <c r="N18">
        <v>31</v>
      </c>
      <c r="O18">
        <v>20</v>
      </c>
      <c r="P18">
        <v>1</v>
      </c>
      <c r="Q18">
        <f t="shared" si="3"/>
        <v>2</v>
      </c>
      <c r="R18">
        <f t="shared" si="4"/>
        <v>2</v>
      </c>
      <c r="S18">
        <f t="shared" si="5"/>
        <v>0</v>
      </c>
      <c r="T18">
        <f t="shared" si="6"/>
        <v>0</v>
      </c>
      <c r="AA18" s="68">
        <v>17</v>
      </c>
      <c r="AB18" s="68">
        <v>9</v>
      </c>
      <c r="AC18" s="68">
        <v>10</v>
      </c>
      <c r="AD18" s="68">
        <v>29</v>
      </c>
      <c r="AE18" s="68">
        <f t="shared" si="7"/>
        <v>21</v>
      </c>
      <c r="AF18" s="68">
        <f t="shared" si="8"/>
        <v>0</v>
      </c>
      <c r="AG18" s="68">
        <f t="shared" si="9"/>
        <v>21</v>
      </c>
      <c r="AH18" s="68">
        <f t="shared" si="10"/>
        <v>0</v>
      </c>
      <c r="AI18">
        <v>31</v>
      </c>
      <c r="AJ18">
        <v>20</v>
      </c>
      <c r="AK18">
        <v>1</v>
      </c>
      <c r="AL18">
        <f t="shared" si="11"/>
        <v>2</v>
      </c>
      <c r="AM18">
        <f t="shared" si="12"/>
        <v>2</v>
      </c>
      <c r="AN18">
        <f t="shared" si="13"/>
        <v>0</v>
      </c>
      <c r="AO18">
        <f t="shared" si="19"/>
        <v>0</v>
      </c>
    </row>
    <row r="19" spans="1:41" x14ac:dyDescent="0.3">
      <c r="O19">
        <f>SUM(O2:O18)</f>
        <v>830</v>
      </c>
      <c r="Q19">
        <f>SUM(Q2:Q18)</f>
        <v>95</v>
      </c>
      <c r="R19">
        <f>SUM(R2:R18)</f>
        <v>53</v>
      </c>
      <c r="S19">
        <f>SUM(S2:S18)</f>
        <v>46</v>
      </c>
      <c r="T19">
        <f>SUM(T2:T18)</f>
        <v>2</v>
      </c>
      <c r="AJ19">
        <f>SUM(AJ2:AJ18)</f>
        <v>830</v>
      </c>
      <c r="AL19">
        <f>SUM(AL2:AL18)</f>
        <v>93</v>
      </c>
      <c r="AM19">
        <f>SUM(AM2:AM18)</f>
        <v>51</v>
      </c>
      <c r="AN19">
        <f>SUM(AN2:AN18)</f>
        <v>44</v>
      </c>
      <c r="AO19">
        <f>SUM(AO2:AO18)</f>
        <v>0</v>
      </c>
    </row>
    <row r="20" spans="1:41" x14ac:dyDescent="0.3">
      <c r="O20" t="s">
        <v>110</v>
      </c>
      <c r="Q20" t="s">
        <v>109</v>
      </c>
      <c r="AJ20" t="s">
        <v>110</v>
      </c>
      <c r="AL20" t="s">
        <v>109</v>
      </c>
    </row>
    <row r="22" spans="1:41" x14ac:dyDescent="0.3">
      <c r="Q22">
        <f>O19-Q19</f>
        <v>735</v>
      </c>
      <c r="R22">
        <f>$O$19-R19</f>
        <v>777</v>
      </c>
      <c r="S22">
        <f>$O$19-S19</f>
        <v>784</v>
      </c>
      <c r="T22">
        <f>$O$19-T19</f>
        <v>828</v>
      </c>
      <c r="AL22">
        <f>AJ19-AL19</f>
        <v>737</v>
      </c>
      <c r="AM22">
        <f>$O$19-AM19</f>
        <v>779</v>
      </c>
      <c r="AN22">
        <f>$O$19-AN19</f>
        <v>786</v>
      </c>
      <c r="AO22">
        <f>$O$19-AO19</f>
        <v>830</v>
      </c>
    </row>
    <row r="23" spans="1:41" x14ac:dyDescent="0.3">
      <c r="I23" t="s">
        <v>111</v>
      </c>
      <c r="Q23" t="s">
        <v>108</v>
      </c>
      <c r="AD23" t="s">
        <v>111</v>
      </c>
      <c r="AL23" t="s">
        <v>108</v>
      </c>
    </row>
    <row r="25" spans="1:41" x14ac:dyDescent="0.3">
      <c r="A25" t="s">
        <v>23</v>
      </c>
      <c r="B25" t="s">
        <v>76</v>
      </c>
      <c r="C25" t="s">
        <v>77</v>
      </c>
      <c r="D25" t="s">
        <v>78</v>
      </c>
      <c r="F25" t="s">
        <v>23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  <c r="N25" t="s">
        <v>104</v>
      </c>
      <c r="O25" t="s">
        <v>105</v>
      </c>
      <c r="P25" t="s">
        <v>106</v>
      </c>
      <c r="Q25" t="s">
        <v>107</v>
      </c>
      <c r="R25" t="s">
        <v>107</v>
      </c>
      <c r="S25" t="s">
        <v>107</v>
      </c>
      <c r="T25" t="s">
        <v>107</v>
      </c>
      <c r="AA25" t="s">
        <v>23</v>
      </c>
      <c r="AB25" t="s">
        <v>79</v>
      </c>
      <c r="AC25" t="s">
        <v>80</v>
      </c>
      <c r="AD25" t="s">
        <v>81</v>
      </c>
      <c r="AE25" t="s">
        <v>82</v>
      </c>
      <c r="AF25" t="s">
        <v>83</v>
      </c>
      <c r="AG25" t="s">
        <v>84</v>
      </c>
      <c r="AH25" t="s">
        <v>85</v>
      </c>
      <c r="AI25" t="s">
        <v>104</v>
      </c>
      <c r="AJ25" t="s">
        <v>105</v>
      </c>
      <c r="AK25" t="s">
        <v>106</v>
      </c>
      <c r="AL25" t="s">
        <v>107</v>
      </c>
      <c r="AM25" t="s">
        <v>107</v>
      </c>
      <c r="AN25" t="s">
        <v>107</v>
      </c>
      <c r="AO25" t="s">
        <v>107</v>
      </c>
    </row>
    <row r="26" spans="1:41" x14ac:dyDescent="0.3">
      <c r="A26">
        <v>1</v>
      </c>
      <c r="B26">
        <v>0</v>
      </c>
      <c r="C26">
        <v>0</v>
      </c>
      <c r="D26">
        <f t="shared" ref="D26:D35" si="20">C26-B26</f>
        <v>0</v>
      </c>
      <c r="F26" s="68">
        <v>1</v>
      </c>
      <c r="G26" s="68">
        <v>1</v>
      </c>
      <c r="H26" s="68">
        <v>2</v>
      </c>
      <c r="I26" s="68">
        <v>14</v>
      </c>
      <c r="J26" s="68">
        <f t="shared" ref="J26:J42" si="21">INDEX($C$2:$C$11,H26)-INDEX($B$2:$B$11,G26)-I26</f>
        <v>7</v>
      </c>
      <c r="K26" s="68">
        <f t="shared" ref="K26:K42" si="22">INDEX($C$2:$C$11,H26)-INDEX($C$2:$C$11,G26)-I26</f>
        <v>7</v>
      </c>
      <c r="L26" s="68">
        <f t="shared" ref="L26:L42" si="23">INDEX($B$2:$B$11,H26)-INDEX($B$2:$B$11,G26)-I26</f>
        <v>0</v>
      </c>
      <c r="M26" s="68">
        <f t="shared" ref="M26:M42" si="24">INDEX($B$2:$B$11,H26)-INDEX($C$2:$C$11,G26)-I26</f>
        <v>0</v>
      </c>
      <c r="N26">
        <v>16</v>
      </c>
      <c r="O26">
        <v>30</v>
      </c>
      <c r="P26">
        <v>2</v>
      </c>
      <c r="Q26">
        <f t="shared" ref="Q26:Q42" si="25">MIN(N26-I26,J26)*P26</f>
        <v>4</v>
      </c>
      <c r="R26">
        <f t="shared" ref="R26:R42" si="26">MIN(N26-I26,L26)*P26</f>
        <v>0</v>
      </c>
      <c r="S26">
        <f t="shared" ref="S26:S42" si="27">MIN(N26-I26,K26)*P26</f>
        <v>4</v>
      </c>
      <c r="T26">
        <f t="shared" ref="T26:T35" si="28">MIN(N26-I26,M26)*P26</f>
        <v>0</v>
      </c>
      <c r="AA26" s="68">
        <v>1</v>
      </c>
      <c r="AB26" s="68">
        <v>1</v>
      </c>
      <c r="AC26" s="68">
        <v>2</v>
      </c>
      <c r="AD26" s="68">
        <v>14</v>
      </c>
      <c r="AE26" s="68">
        <f t="shared" ref="AE26:AE42" si="29">INDEX($C$2:$C$11,AC26)-INDEX($B$2:$B$11,AB26)-AD26</f>
        <v>7</v>
      </c>
      <c r="AF26" s="68">
        <f t="shared" ref="AF26:AF42" si="30">INDEX($C$2:$C$11,AC26)-INDEX($C$2:$C$11,AB26)-AD26</f>
        <v>7</v>
      </c>
      <c r="AG26" s="68">
        <f t="shared" ref="AG26:AG42" si="31">INDEX($B$2:$B$11,AC26)-INDEX($B$2:$B$11,AB26)-AD26</f>
        <v>0</v>
      </c>
      <c r="AH26" s="68">
        <f t="shared" ref="AH26:AH42" si="32">INDEX($B$2:$B$11,AC26)-INDEX($C$2:$C$11,AB26)-AD26</f>
        <v>0</v>
      </c>
      <c r="AI26">
        <v>16</v>
      </c>
      <c r="AJ26">
        <v>30</v>
      </c>
      <c r="AK26">
        <v>2</v>
      </c>
      <c r="AL26">
        <f t="shared" ref="AL26:AL42" si="33">MIN(AI26-AD26,AE26)*AK26</f>
        <v>4</v>
      </c>
      <c r="AM26">
        <f t="shared" ref="AM26:AM42" si="34">MIN(AI26-AD26,AG26)*AK26</f>
        <v>0</v>
      </c>
      <c r="AN26">
        <f t="shared" ref="AN26:AN42" si="35">MIN(AI26-AD26,AF26)*AK26</f>
        <v>4</v>
      </c>
      <c r="AO26">
        <f t="shared" ref="AO26:AO36" si="36">MIN(AI26-AD26,AH26)*AK26</f>
        <v>0</v>
      </c>
    </row>
    <row r="27" spans="1:41" x14ac:dyDescent="0.3">
      <c r="A27">
        <v>2</v>
      </c>
      <c r="B27">
        <v>14</v>
      </c>
      <c r="C27">
        <v>21</v>
      </c>
      <c r="D27">
        <f t="shared" si="20"/>
        <v>7</v>
      </c>
      <c r="F27" s="68">
        <v>2</v>
      </c>
      <c r="G27" s="68">
        <v>1</v>
      </c>
      <c r="H27" s="68">
        <v>3</v>
      </c>
      <c r="I27" s="68">
        <v>15</v>
      </c>
      <c r="J27" s="68">
        <f t="shared" si="21"/>
        <v>5</v>
      </c>
      <c r="K27" s="68">
        <f t="shared" si="22"/>
        <v>5</v>
      </c>
      <c r="L27" s="68">
        <f t="shared" si="23"/>
        <v>0</v>
      </c>
      <c r="M27" s="68">
        <f t="shared" si="24"/>
        <v>0</v>
      </c>
      <c r="N27">
        <v>20</v>
      </c>
      <c r="O27">
        <v>40</v>
      </c>
      <c r="P27">
        <v>4</v>
      </c>
      <c r="Q27">
        <f t="shared" si="25"/>
        <v>20</v>
      </c>
      <c r="R27">
        <f t="shared" si="26"/>
        <v>0</v>
      </c>
      <c r="S27">
        <f t="shared" si="27"/>
        <v>20</v>
      </c>
      <c r="T27">
        <f t="shared" si="28"/>
        <v>0</v>
      </c>
      <c r="AA27" s="68">
        <v>2</v>
      </c>
      <c r="AB27" s="68">
        <v>1</v>
      </c>
      <c r="AC27" s="68">
        <v>3</v>
      </c>
      <c r="AD27" s="68">
        <v>15</v>
      </c>
      <c r="AE27" s="68">
        <f t="shared" si="29"/>
        <v>5</v>
      </c>
      <c r="AF27" s="68">
        <f t="shared" si="30"/>
        <v>5</v>
      </c>
      <c r="AG27" s="68">
        <f t="shared" si="31"/>
        <v>0</v>
      </c>
      <c r="AH27" s="68">
        <f t="shared" si="32"/>
        <v>0</v>
      </c>
      <c r="AI27">
        <v>20</v>
      </c>
      <c r="AJ27">
        <v>40</v>
      </c>
      <c r="AK27">
        <v>4</v>
      </c>
      <c r="AL27">
        <f t="shared" si="33"/>
        <v>20</v>
      </c>
      <c r="AM27">
        <f t="shared" si="34"/>
        <v>0</v>
      </c>
      <c r="AN27">
        <f t="shared" si="35"/>
        <v>20</v>
      </c>
      <c r="AO27">
        <f t="shared" si="36"/>
        <v>0</v>
      </c>
    </row>
    <row r="28" spans="1:41" x14ac:dyDescent="0.3">
      <c r="A28">
        <v>3</v>
      </c>
      <c r="B28">
        <v>15</v>
      </c>
      <c r="C28">
        <v>20</v>
      </c>
      <c r="D28">
        <f t="shared" si="20"/>
        <v>5</v>
      </c>
      <c r="F28" s="68">
        <v>3</v>
      </c>
      <c r="G28" s="68">
        <v>1</v>
      </c>
      <c r="H28" s="68">
        <v>4</v>
      </c>
      <c r="I28" s="68">
        <v>12</v>
      </c>
      <c r="J28" s="68">
        <f t="shared" si="21"/>
        <v>0</v>
      </c>
      <c r="K28" s="68">
        <f t="shared" si="22"/>
        <v>0</v>
      </c>
      <c r="L28" s="68">
        <f t="shared" si="23"/>
        <v>0</v>
      </c>
      <c r="M28" s="68">
        <f t="shared" si="24"/>
        <v>0</v>
      </c>
      <c r="N28">
        <v>14</v>
      </c>
      <c r="O28">
        <v>80</v>
      </c>
      <c r="P28">
        <v>2</v>
      </c>
      <c r="Q28">
        <f t="shared" si="25"/>
        <v>0</v>
      </c>
      <c r="R28">
        <f t="shared" si="26"/>
        <v>0</v>
      </c>
      <c r="S28">
        <f t="shared" si="27"/>
        <v>0</v>
      </c>
      <c r="T28">
        <f t="shared" si="28"/>
        <v>0</v>
      </c>
      <c r="AA28" s="68">
        <v>3</v>
      </c>
      <c r="AB28" s="68">
        <v>1</v>
      </c>
      <c r="AC28" s="68">
        <v>4</v>
      </c>
      <c r="AD28" s="68">
        <v>12</v>
      </c>
      <c r="AE28" s="68">
        <f t="shared" si="29"/>
        <v>0</v>
      </c>
      <c r="AF28" s="68">
        <f t="shared" si="30"/>
        <v>0</v>
      </c>
      <c r="AG28" s="68">
        <f t="shared" si="31"/>
        <v>0</v>
      </c>
      <c r="AH28" s="68">
        <f t="shared" si="32"/>
        <v>0</v>
      </c>
      <c r="AI28">
        <v>14</v>
      </c>
      <c r="AJ28">
        <v>80</v>
      </c>
      <c r="AK28">
        <v>2</v>
      </c>
      <c r="AL28">
        <f t="shared" si="33"/>
        <v>0</v>
      </c>
      <c r="AM28">
        <f t="shared" si="34"/>
        <v>0</v>
      </c>
      <c r="AN28">
        <f t="shared" si="35"/>
        <v>0</v>
      </c>
      <c r="AO28">
        <f t="shared" si="36"/>
        <v>0</v>
      </c>
    </row>
    <row r="29" spans="1:41" x14ac:dyDescent="0.3">
      <c r="A29">
        <v>4</v>
      </c>
      <c r="B29">
        <v>12</v>
      </c>
      <c r="C29">
        <v>12</v>
      </c>
      <c r="D29">
        <f t="shared" si="20"/>
        <v>0</v>
      </c>
      <c r="F29" s="68">
        <v>4</v>
      </c>
      <c r="G29" s="68">
        <v>2</v>
      </c>
      <c r="H29" s="68">
        <v>5</v>
      </c>
      <c r="I29" s="68">
        <v>18</v>
      </c>
      <c r="J29" s="68">
        <f t="shared" si="21"/>
        <v>7</v>
      </c>
      <c r="K29" s="68">
        <f t="shared" si="22"/>
        <v>0</v>
      </c>
      <c r="L29" s="68">
        <f t="shared" si="23"/>
        <v>7</v>
      </c>
      <c r="M29" s="68">
        <f t="shared" si="24"/>
        <v>0</v>
      </c>
      <c r="N29">
        <v>20</v>
      </c>
      <c r="O29">
        <v>20</v>
      </c>
      <c r="P29">
        <v>1</v>
      </c>
      <c r="Q29">
        <f t="shared" si="25"/>
        <v>2</v>
      </c>
      <c r="R29">
        <f t="shared" si="26"/>
        <v>2</v>
      </c>
      <c r="S29">
        <f t="shared" si="27"/>
        <v>0</v>
      </c>
      <c r="T29">
        <f t="shared" si="28"/>
        <v>0</v>
      </c>
      <c r="AA29" s="68">
        <v>4</v>
      </c>
      <c r="AB29" s="68">
        <v>2</v>
      </c>
      <c r="AC29" s="68">
        <v>5</v>
      </c>
      <c r="AD29" s="68">
        <v>18</v>
      </c>
      <c r="AE29" s="68">
        <f t="shared" si="29"/>
        <v>7</v>
      </c>
      <c r="AF29" s="68">
        <f t="shared" si="30"/>
        <v>0</v>
      </c>
      <c r="AG29" s="68">
        <f t="shared" si="31"/>
        <v>7</v>
      </c>
      <c r="AH29" s="68">
        <f t="shared" si="32"/>
        <v>0</v>
      </c>
      <c r="AI29">
        <v>20</v>
      </c>
      <c r="AJ29">
        <v>20</v>
      </c>
      <c r="AK29">
        <v>1</v>
      </c>
      <c r="AL29">
        <f t="shared" si="33"/>
        <v>2</v>
      </c>
      <c r="AM29">
        <f t="shared" si="34"/>
        <v>2</v>
      </c>
      <c r="AN29">
        <f t="shared" si="35"/>
        <v>0</v>
      </c>
      <c r="AO29">
        <f t="shared" si="36"/>
        <v>0</v>
      </c>
    </row>
    <row r="30" spans="1:41" x14ac:dyDescent="0.3">
      <c r="A30">
        <v>5</v>
      </c>
      <c r="B30">
        <v>39</v>
      </c>
      <c r="C30">
        <v>39</v>
      </c>
      <c r="D30">
        <f t="shared" si="20"/>
        <v>0</v>
      </c>
      <c r="F30" s="68">
        <v>5</v>
      </c>
      <c r="G30" s="68">
        <v>2</v>
      </c>
      <c r="H30" s="68">
        <v>7</v>
      </c>
      <c r="I30" s="68">
        <v>21</v>
      </c>
      <c r="J30" s="68">
        <f t="shared" si="21"/>
        <v>27</v>
      </c>
      <c r="K30" s="68">
        <f t="shared" si="22"/>
        <v>20</v>
      </c>
      <c r="L30" s="68">
        <f t="shared" si="23"/>
        <v>18</v>
      </c>
      <c r="M30" s="68">
        <f t="shared" si="24"/>
        <v>11</v>
      </c>
      <c r="N30">
        <v>23</v>
      </c>
      <c r="O30">
        <v>30</v>
      </c>
      <c r="P30">
        <v>1</v>
      </c>
      <c r="Q30">
        <f t="shared" si="25"/>
        <v>2</v>
      </c>
      <c r="R30">
        <f t="shared" si="26"/>
        <v>2</v>
      </c>
      <c r="S30">
        <f t="shared" si="27"/>
        <v>2</v>
      </c>
      <c r="T30">
        <f t="shared" si="28"/>
        <v>2</v>
      </c>
      <c r="AA30" s="68">
        <v>5</v>
      </c>
      <c r="AB30" s="68">
        <v>2</v>
      </c>
      <c r="AC30" s="68">
        <v>7</v>
      </c>
      <c r="AD30" s="68">
        <v>21</v>
      </c>
      <c r="AE30" s="68">
        <f t="shared" si="29"/>
        <v>27</v>
      </c>
      <c r="AF30" s="68">
        <f t="shared" si="30"/>
        <v>20</v>
      </c>
      <c r="AG30" s="68">
        <f t="shared" si="31"/>
        <v>18</v>
      </c>
      <c r="AH30" s="68">
        <f t="shared" si="32"/>
        <v>11</v>
      </c>
      <c r="AI30">
        <v>23</v>
      </c>
      <c r="AJ30">
        <v>30</v>
      </c>
      <c r="AK30">
        <v>1</v>
      </c>
      <c r="AL30">
        <f t="shared" si="33"/>
        <v>2</v>
      </c>
      <c r="AM30">
        <f t="shared" si="34"/>
        <v>2</v>
      </c>
      <c r="AN30">
        <f t="shared" si="35"/>
        <v>2</v>
      </c>
      <c r="AO30">
        <f t="shared" si="36"/>
        <v>2</v>
      </c>
    </row>
    <row r="31" spans="1:41" x14ac:dyDescent="0.3">
      <c r="A31">
        <v>6</v>
      </c>
      <c r="B31">
        <v>26</v>
      </c>
      <c r="C31">
        <v>47</v>
      </c>
      <c r="D31">
        <f t="shared" si="20"/>
        <v>21</v>
      </c>
      <c r="F31" s="68">
        <v>6</v>
      </c>
      <c r="G31" s="68">
        <v>3</v>
      </c>
      <c r="H31" s="68">
        <v>5</v>
      </c>
      <c r="I31" s="68">
        <v>19</v>
      </c>
      <c r="J31" s="68">
        <f t="shared" si="21"/>
        <v>5</v>
      </c>
      <c r="K31" s="68">
        <f t="shared" si="22"/>
        <v>0</v>
      </c>
      <c r="L31" s="68">
        <f t="shared" si="23"/>
        <v>5</v>
      </c>
      <c r="M31" s="68">
        <f t="shared" si="24"/>
        <v>0</v>
      </c>
      <c r="N31">
        <v>25</v>
      </c>
      <c r="O31">
        <v>50</v>
      </c>
      <c r="P31">
        <v>3</v>
      </c>
      <c r="Q31">
        <f t="shared" si="25"/>
        <v>15</v>
      </c>
      <c r="R31">
        <f t="shared" si="26"/>
        <v>15</v>
      </c>
      <c r="S31">
        <f t="shared" si="27"/>
        <v>0</v>
      </c>
      <c r="T31">
        <f t="shared" si="28"/>
        <v>0</v>
      </c>
      <c r="AA31" s="68">
        <v>6</v>
      </c>
      <c r="AB31" s="68">
        <v>3</v>
      </c>
      <c r="AC31" s="68">
        <v>5</v>
      </c>
      <c r="AD31" s="68">
        <v>19</v>
      </c>
      <c r="AE31" s="68">
        <f t="shared" si="29"/>
        <v>5</v>
      </c>
      <c r="AF31" s="68">
        <f t="shared" si="30"/>
        <v>0</v>
      </c>
      <c r="AG31" s="68">
        <f t="shared" si="31"/>
        <v>5</v>
      </c>
      <c r="AH31" s="68">
        <f t="shared" si="32"/>
        <v>0</v>
      </c>
      <c r="AI31">
        <v>25</v>
      </c>
      <c r="AJ31">
        <v>50</v>
      </c>
      <c r="AK31">
        <v>3</v>
      </c>
      <c r="AL31">
        <f t="shared" si="33"/>
        <v>15</v>
      </c>
      <c r="AM31">
        <f t="shared" si="34"/>
        <v>15</v>
      </c>
      <c r="AN31">
        <f t="shared" si="35"/>
        <v>0</v>
      </c>
      <c r="AO31">
        <f t="shared" si="36"/>
        <v>0</v>
      </c>
    </row>
    <row r="32" spans="1:41" x14ac:dyDescent="0.3">
      <c r="A32">
        <v>7</v>
      </c>
      <c r="B32">
        <v>53</v>
      </c>
      <c r="C32">
        <v>62</v>
      </c>
      <c r="D32">
        <f t="shared" si="20"/>
        <v>9</v>
      </c>
      <c r="F32" s="68">
        <v>7</v>
      </c>
      <c r="G32" s="68">
        <v>4</v>
      </c>
      <c r="H32" s="68">
        <v>5</v>
      </c>
      <c r="I32" s="68">
        <v>27</v>
      </c>
      <c r="J32" s="68">
        <f t="shared" si="21"/>
        <v>0</v>
      </c>
      <c r="K32" s="68">
        <f t="shared" si="22"/>
        <v>0</v>
      </c>
      <c r="L32" s="68">
        <f t="shared" si="23"/>
        <v>0</v>
      </c>
      <c r="M32" s="68">
        <f t="shared" si="24"/>
        <v>0</v>
      </c>
      <c r="N32">
        <v>31</v>
      </c>
      <c r="O32">
        <v>60</v>
      </c>
      <c r="P32">
        <v>1</v>
      </c>
      <c r="Q32">
        <f t="shared" si="25"/>
        <v>0</v>
      </c>
      <c r="R32">
        <f t="shared" si="26"/>
        <v>0</v>
      </c>
      <c r="S32">
        <f t="shared" si="27"/>
        <v>0</v>
      </c>
      <c r="T32">
        <f t="shared" si="28"/>
        <v>0</v>
      </c>
      <c r="AA32" s="68">
        <v>7</v>
      </c>
      <c r="AB32" s="68">
        <v>4</v>
      </c>
      <c r="AC32" s="68">
        <v>5</v>
      </c>
      <c r="AD32" s="68">
        <v>27</v>
      </c>
      <c r="AE32" s="68">
        <f t="shared" si="29"/>
        <v>0</v>
      </c>
      <c r="AF32" s="68">
        <f t="shared" si="30"/>
        <v>0</v>
      </c>
      <c r="AG32" s="68">
        <f t="shared" si="31"/>
        <v>0</v>
      </c>
      <c r="AH32" s="68">
        <f t="shared" si="32"/>
        <v>0</v>
      </c>
      <c r="AI32">
        <v>31</v>
      </c>
      <c r="AJ32">
        <v>60</v>
      </c>
      <c r="AK32">
        <v>1</v>
      </c>
      <c r="AL32">
        <f t="shared" si="33"/>
        <v>0</v>
      </c>
      <c r="AM32">
        <f t="shared" si="34"/>
        <v>0</v>
      </c>
      <c r="AN32">
        <f t="shared" si="35"/>
        <v>0</v>
      </c>
      <c r="AO32">
        <f t="shared" si="36"/>
        <v>0</v>
      </c>
    </row>
    <row r="33" spans="1:41" x14ac:dyDescent="0.3">
      <c r="A33">
        <v>8</v>
      </c>
      <c r="B33">
        <v>55</v>
      </c>
      <c r="C33">
        <v>55</v>
      </c>
      <c r="D33">
        <f t="shared" si="20"/>
        <v>0</v>
      </c>
      <c r="F33" s="68">
        <v>8</v>
      </c>
      <c r="G33" s="68">
        <v>4</v>
      </c>
      <c r="H33" s="68">
        <v>6</v>
      </c>
      <c r="I33" s="68">
        <v>14</v>
      </c>
      <c r="J33" s="68">
        <f t="shared" si="21"/>
        <v>21</v>
      </c>
      <c r="K33" s="68">
        <f t="shared" si="22"/>
        <v>21</v>
      </c>
      <c r="L33" s="68">
        <f t="shared" si="23"/>
        <v>0</v>
      </c>
      <c r="M33" s="68">
        <f t="shared" si="24"/>
        <v>0</v>
      </c>
      <c r="N33">
        <v>20</v>
      </c>
      <c r="O33">
        <v>70</v>
      </c>
      <c r="P33">
        <v>1</v>
      </c>
      <c r="Q33">
        <f t="shared" si="25"/>
        <v>6</v>
      </c>
      <c r="R33">
        <f t="shared" si="26"/>
        <v>0</v>
      </c>
      <c r="S33">
        <f t="shared" si="27"/>
        <v>6</v>
      </c>
      <c r="T33">
        <f t="shared" si="28"/>
        <v>0</v>
      </c>
      <c r="AA33" s="68">
        <v>8</v>
      </c>
      <c r="AB33" s="68">
        <v>4</v>
      </c>
      <c r="AC33" s="68">
        <v>6</v>
      </c>
      <c r="AD33" s="68">
        <v>14</v>
      </c>
      <c r="AE33" s="68">
        <f t="shared" si="29"/>
        <v>21</v>
      </c>
      <c r="AF33" s="68">
        <f t="shared" si="30"/>
        <v>21</v>
      </c>
      <c r="AG33" s="68">
        <f t="shared" si="31"/>
        <v>0</v>
      </c>
      <c r="AH33" s="68">
        <f t="shared" si="32"/>
        <v>0</v>
      </c>
      <c r="AI33">
        <v>20</v>
      </c>
      <c r="AJ33">
        <v>70</v>
      </c>
      <c r="AK33">
        <v>1</v>
      </c>
      <c r="AL33">
        <f t="shared" si="33"/>
        <v>6</v>
      </c>
      <c r="AM33">
        <f t="shared" si="34"/>
        <v>0</v>
      </c>
      <c r="AN33">
        <f t="shared" si="35"/>
        <v>6</v>
      </c>
      <c r="AO33">
        <f t="shared" si="36"/>
        <v>0</v>
      </c>
    </row>
    <row r="34" spans="1:41" x14ac:dyDescent="0.3">
      <c r="A34">
        <v>9</v>
      </c>
      <c r="B34">
        <v>43</v>
      </c>
      <c r="C34">
        <v>64</v>
      </c>
      <c r="D34">
        <f t="shared" si="20"/>
        <v>21</v>
      </c>
      <c r="F34" s="68">
        <v>9</v>
      </c>
      <c r="G34" s="68">
        <v>4</v>
      </c>
      <c r="H34" s="68">
        <v>9</v>
      </c>
      <c r="I34" s="68">
        <v>31</v>
      </c>
      <c r="J34" s="68">
        <f t="shared" si="21"/>
        <v>21</v>
      </c>
      <c r="K34" s="68">
        <f t="shared" si="22"/>
        <v>21</v>
      </c>
      <c r="L34" s="68">
        <f t="shared" si="23"/>
        <v>0</v>
      </c>
      <c r="M34" s="68">
        <f t="shared" si="24"/>
        <v>0</v>
      </c>
      <c r="N34">
        <v>33</v>
      </c>
      <c r="O34">
        <v>10</v>
      </c>
      <c r="P34">
        <v>2</v>
      </c>
      <c r="Q34">
        <f t="shared" si="25"/>
        <v>4</v>
      </c>
      <c r="R34">
        <f t="shared" si="26"/>
        <v>0</v>
      </c>
      <c r="S34">
        <f t="shared" si="27"/>
        <v>4</v>
      </c>
      <c r="T34">
        <f t="shared" si="28"/>
        <v>0</v>
      </c>
      <c r="AA34" s="68">
        <v>9</v>
      </c>
      <c r="AB34" s="68">
        <v>4</v>
      </c>
      <c r="AC34" s="68">
        <v>9</v>
      </c>
      <c r="AD34" s="68">
        <v>31</v>
      </c>
      <c r="AE34" s="68">
        <f t="shared" si="29"/>
        <v>21</v>
      </c>
      <c r="AF34" s="68">
        <f t="shared" si="30"/>
        <v>21</v>
      </c>
      <c r="AG34" s="68">
        <f t="shared" si="31"/>
        <v>0</v>
      </c>
      <c r="AH34" s="68">
        <f t="shared" si="32"/>
        <v>0</v>
      </c>
      <c r="AI34">
        <v>33</v>
      </c>
      <c r="AJ34">
        <v>10</v>
      </c>
      <c r="AK34">
        <v>2</v>
      </c>
      <c r="AL34">
        <f t="shared" si="33"/>
        <v>4</v>
      </c>
      <c r="AM34">
        <f t="shared" si="34"/>
        <v>0</v>
      </c>
      <c r="AN34">
        <f t="shared" si="35"/>
        <v>4</v>
      </c>
      <c r="AO34">
        <f t="shared" si="36"/>
        <v>0</v>
      </c>
    </row>
    <row r="35" spans="1:41" x14ac:dyDescent="0.3">
      <c r="A35">
        <v>10</v>
      </c>
      <c r="B35">
        <v>93</v>
      </c>
      <c r="C35">
        <v>93</v>
      </c>
      <c r="D35">
        <f t="shared" si="20"/>
        <v>0</v>
      </c>
      <c r="F35" s="68">
        <v>10</v>
      </c>
      <c r="G35" s="68">
        <v>5</v>
      </c>
      <c r="H35" s="68">
        <v>7</v>
      </c>
      <c r="I35" s="68">
        <v>14</v>
      </c>
      <c r="J35" s="68">
        <f t="shared" si="21"/>
        <v>9</v>
      </c>
      <c r="K35" s="68">
        <f t="shared" si="22"/>
        <v>9</v>
      </c>
      <c r="L35" s="68">
        <f t="shared" si="23"/>
        <v>0</v>
      </c>
      <c r="M35" s="68">
        <f t="shared" si="24"/>
        <v>0</v>
      </c>
      <c r="N35">
        <v>16</v>
      </c>
      <c r="O35">
        <v>20</v>
      </c>
      <c r="P35">
        <v>4</v>
      </c>
      <c r="Q35">
        <f t="shared" si="25"/>
        <v>8</v>
      </c>
      <c r="R35">
        <f t="shared" si="26"/>
        <v>0</v>
      </c>
      <c r="S35">
        <f t="shared" si="27"/>
        <v>8</v>
      </c>
      <c r="T35">
        <f t="shared" si="28"/>
        <v>0</v>
      </c>
      <c r="AA35" s="68">
        <v>10</v>
      </c>
      <c r="AB35" s="68">
        <v>5</v>
      </c>
      <c r="AC35" s="68">
        <v>7</v>
      </c>
      <c r="AD35" s="68">
        <v>14</v>
      </c>
      <c r="AE35" s="68">
        <f t="shared" si="29"/>
        <v>9</v>
      </c>
      <c r="AF35" s="68">
        <f t="shared" si="30"/>
        <v>9</v>
      </c>
      <c r="AG35" s="68">
        <f t="shared" si="31"/>
        <v>0</v>
      </c>
      <c r="AH35" s="68">
        <f t="shared" si="32"/>
        <v>0</v>
      </c>
      <c r="AI35">
        <v>16</v>
      </c>
      <c r="AJ35">
        <v>20</v>
      </c>
      <c r="AK35">
        <v>4</v>
      </c>
      <c r="AL35">
        <f t="shared" si="33"/>
        <v>8</v>
      </c>
      <c r="AM35">
        <f t="shared" si="34"/>
        <v>0</v>
      </c>
      <c r="AN35">
        <f t="shared" si="35"/>
        <v>8</v>
      </c>
      <c r="AO35">
        <f t="shared" si="36"/>
        <v>0</v>
      </c>
    </row>
    <row r="36" spans="1:41" x14ac:dyDescent="0.3">
      <c r="F36" s="68">
        <v>11</v>
      </c>
      <c r="G36" s="68">
        <v>5</v>
      </c>
      <c r="H36" s="68">
        <v>8</v>
      </c>
      <c r="I36" s="68">
        <v>19</v>
      </c>
      <c r="J36" s="68">
        <f t="shared" si="21"/>
        <v>-3</v>
      </c>
      <c r="K36" s="68">
        <f t="shared" si="22"/>
        <v>-3</v>
      </c>
      <c r="L36" s="68">
        <f t="shared" si="23"/>
        <v>-3</v>
      </c>
      <c r="M36" s="68">
        <f t="shared" si="24"/>
        <v>-3</v>
      </c>
      <c r="N36">
        <v>18</v>
      </c>
      <c r="O36">
        <v>80</v>
      </c>
      <c r="P36">
        <v>2</v>
      </c>
      <c r="Q36">
        <v>0</v>
      </c>
      <c r="R36">
        <v>0</v>
      </c>
      <c r="S36">
        <v>0</v>
      </c>
      <c r="T36">
        <v>0</v>
      </c>
      <c r="AA36" s="68">
        <v>11</v>
      </c>
      <c r="AB36" s="68">
        <v>5</v>
      </c>
      <c r="AC36" s="68">
        <v>8</v>
      </c>
      <c r="AD36" s="68">
        <v>16</v>
      </c>
      <c r="AE36" s="68">
        <f t="shared" si="29"/>
        <v>0</v>
      </c>
      <c r="AF36" s="68">
        <f t="shared" si="30"/>
        <v>0</v>
      </c>
      <c r="AG36" s="68">
        <f t="shared" si="31"/>
        <v>0</v>
      </c>
      <c r="AH36" s="68">
        <f t="shared" si="32"/>
        <v>0</v>
      </c>
      <c r="AI36">
        <v>18</v>
      </c>
      <c r="AJ36">
        <v>80</v>
      </c>
      <c r="AK36">
        <v>2</v>
      </c>
      <c r="AL36">
        <f t="shared" si="33"/>
        <v>0</v>
      </c>
      <c r="AM36">
        <f t="shared" si="34"/>
        <v>0</v>
      </c>
      <c r="AN36">
        <f t="shared" si="35"/>
        <v>0</v>
      </c>
      <c r="AO36">
        <f t="shared" si="36"/>
        <v>0</v>
      </c>
    </row>
    <row r="37" spans="1:41" x14ac:dyDescent="0.3">
      <c r="F37" s="68">
        <v>12</v>
      </c>
      <c r="G37" s="68">
        <v>6</v>
      </c>
      <c r="H37" s="68">
        <v>7</v>
      </c>
      <c r="I37" s="68">
        <v>15</v>
      </c>
      <c r="J37" s="68">
        <f t="shared" si="21"/>
        <v>21</v>
      </c>
      <c r="K37" s="68">
        <f t="shared" si="22"/>
        <v>0</v>
      </c>
      <c r="L37" s="68">
        <f t="shared" si="23"/>
        <v>12</v>
      </c>
      <c r="M37" s="68">
        <f t="shared" si="24"/>
        <v>-9</v>
      </c>
      <c r="N37">
        <v>19</v>
      </c>
      <c r="O37">
        <v>70</v>
      </c>
      <c r="P37">
        <v>5</v>
      </c>
      <c r="Q37">
        <f t="shared" si="25"/>
        <v>20</v>
      </c>
      <c r="R37">
        <f t="shared" si="26"/>
        <v>20</v>
      </c>
      <c r="S37">
        <f t="shared" si="27"/>
        <v>0</v>
      </c>
      <c r="T37">
        <v>0</v>
      </c>
      <c r="AA37" s="68">
        <v>12</v>
      </c>
      <c r="AB37" s="68">
        <v>6</v>
      </c>
      <c r="AC37" s="68">
        <v>7</v>
      </c>
      <c r="AD37" s="68">
        <v>15</v>
      </c>
      <c r="AE37" s="68">
        <f t="shared" si="29"/>
        <v>21</v>
      </c>
      <c r="AF37" s="68">
        <f t="shared" si="30"/>
        <v>0</v>
      </c>
      <c r="AG37" s="68">
        <f t="shared" si="31"/>
        <v>12</v>
      </c>
      <c r="AH37" s="68">
        <f t="shared" si="32"/>
        <v>-9</v>
      </c>
      <c r="AI37">
        <v>19</v>
      </c>
      <c r="AJ37">
        <v>70</v>
      </c>
      <c r="AK37">
        <v>5</v>
      </c>
      <c r="AL37">
        <f t="shared" si="33"/>
        <v>20</v>
      </c>
      <c r="AM37">
        <f t="shared" si="34"/>
        <v>20</v>
      </c>
      <c r="AN37">
        <f t="shared" si="35"/>
        <v>0</v>
      </c>
      <c r="AO37">
        <v>0</v>
      </c>
    </row>
    <row r="38" spans="1:41" x14ac:dyDescent="0.3">
      <c r="F38" s="68">
        <v>13</v>
      </c>
      <c r="G38" s="68">
        <v>6</v>
      </c>
      <c r="H38" s="68">
        <v>8</v>
      </c>
      <c r="I38" s="68">
        <v>8</v>
      </c>
      <c r="J38" s="68">
        <f t="shared" si="21"/>
        <v>21</v>
      </c>
      <c r="K38" s="68">
        <f t="shared" si="22"/>
        <v>0</v>
      </c>
      <c r="L38" s="68">
        <f t="shared" si="23"/>
        <v>21</v>
      </c>
      <c r="M38" s="68">
        <f t="shared" si="24"/>
        <v>0</v>
      </c>
      <c r="N38">
        <v>10</v>
      </c>
      <c r="O38">
        <v>90</v>
      </c>
      <c r="P38">
        <v>1</v>
      </c>
      <c r="Q38">
        <f t="shared" si="25"/>
        <v>2</v>
      </c>
      <c r="R38">
        <f t="shared" si="26"/>
        <v>2</v>
      </c>
      <c r="S38">
        <f t="shared" si="27"/>
        <v>0</v>
      </c>
      <c r="T38">
        <f t="shared" ref="T38" si="37">MIN(N38-I38,M38)*P38</f>
        <v>0</v>
      </c>
      <c r="AA38" s="68">
        <v>13</v>
      </c>
      <c r="AB38" s="68">
        <v>6</v>
      </c>
      <c r="AC38" s="68">
        <v>8</v>
      </c>
      <c r="AD38" s="68">
        <v>8</v>
      </c>
      <c r="AE38" s="68">
        <f t="shared" si="29"/>
        <v>21</v>
      </c>
      <c r="AF38" s="68">
        <f t="shared" si="30"/>
        <v>0</v>
      </c>
      <c r="AG38" s="68">
        <f t="shared" si="31"/>
        <v>21</v>
      </c>
      <c r="AH38" s="68">
        <f t="shared" si="32"/>
        <v>0</v>
      </c>
      <c r="AI38">
        <v>10</v>
      </c>
      <c r="AJ38">
        <v>90</v>
      </c>
      <c r="AK38">
        <v>1</v>
      </c>
      <c r="AL38">
        <f t="shared" si="33"/>
        <v>2</v>
      </c>
      <c r="AM38">
        <f t="shared" si="34"/>
        <v>2</v>
      </c>
      <c r="AN38">
        <f t="shared" si="35"/>
        <v>0</v>
      </c>
      <c r="AO38">
        <f t="shared" ref="AO38" si="38">MIN(AI38-AD38,AH38)*AK38</f>
        <v>0</v>
      </c>
    </row>
    <row r="39" spans="1:41" x14ac:dyDescent="0.3">
      <c r="F39" s="68">
        <v>14</v>
      </c>
      <c r="G39" s="68">
        <v>6</v>
      </c>
      <c r="H39" s="68">
        <v>9</v>
      </c>
      <c r="I39" s="68">
        <v>12</v>
      </c>
      <c r="J39" s="68">
        <f t="shared" si="21"/>
        <v>26</v>
      </c>
      <c r="K39" s="68">
        <f t="shared" si="22"/>
        <v>5</v>
      </c>
      <c r="L39" s="68">
        <f t="shared" si="23"/>
        <v>5</v>
      </c>
      <c r="M39" s="68">
        <f t="shared" si="24"/>
        <v>-16</v>
      </c>
      <c r="N39">
        <v>14</v>
      </c>
      <c r="O39">
        <v>80</v>
      </c>
      <c r="P39">
        <v>1</v>
      </c>
      <c r="Q39">
        <f t="shared" si="25"/>
        <v>2</v>
      </c>
      <c r="R39">
        <f t="shared" si="26"/>
        <v>2</v>
      </c>
      <c r="S39">
        <f t="shared" si="27"/>
        <v>2</v>
      </c>
      <c r="T39">
        <v>0</v>
      </c>
      <c r="AA39" s="68">
        <v>14</v>
      </c>
      <c r="AB39" s="68">
        <v>6</v>
      </c>
      <c r="AC39" s="68">
        <v>9</v>
      </c>
      <c r="AD39" s="68">
        <v>12</v>
      </c>
      <c r="AE39" s="68">
        <f t="shared" si="29"/>
        <v>26</v>
      </c>
      <c r="AF39" s="68">
        <f t="shared" si="30"/>
        <v>5</v>
      </c>
      <c r="AG39" s="68">
        <f t="shared" si="31"/>
        <v>5</v>
      </c>
      <c r="AH39" s="68">
        <f t="shared" si="32"/>
        <v>-16</v>
      </c>
      <c r="AI39">
        <v>14</v>
      </c>
      <c r="AJ39">
        <v>80</v>
      </c>
      <c r="AK39">
        <v>1</v>
      </c>
      <c r="AL39">
        <f t="shared" si="33"/>
        <v>2</v>
      </c>
      <c r="AM39">
        <f t="shared" si="34"/>
        <v>2</v>
      </c>
      <c r="AN39">
        <f t="shared" si="35"/>
        <v>2</v>
      </c>
      <c r="AO39">
        <v>0</v>
      </c>
    </row>
    <row r="40" spans="1:41" x14ac:dyDescent="0.3">
      <c r="F40" s="68">
        <v>15</v>
      </c>
      <c r="G40" s="68">
        <v>7</v>
      </c>
      <c r="H40" s="68">
        <v>10</v>
      </c>
      <c r="I40" s="68">
        <v>31</v>
      </c>
      <c r="J40" s="68">
        <f t="shared" si="21"/>
        <v>9</v>
      </c>
      <c r="K40" s="68">
        <f t="shared" si="22"/>
        <v>0</v>
      </c>
      <c r="L40" s="68">
        <f t="shared" si="23"/>
        <v>9</v>
      </c>
      <c r="M40" s="68">
        <f t="shared" si="24"/>
        <v>0</v>
      </c>
      <c r="N40">
        <v>35</v>
      </c>
      <c r="O40">
        <v>50</v>
      </c>
      <c r="P40">
        <v>2</v>
      </c>
      <c r="Q40">
        <f t="shared" si="25"/>
        <v>8</v>
      </c>
      <c r="R40">
        <f t="shared" si="26"/>
        <v>8</v>
      </c>
      <c r="S40">
        <f t="shared" si="27"/>
        <v>0</v>
      </c>
      <c r="T40">
        <f t="shared" ref="T40:T42" si="39">MIN(N40-I40,M40)*P40</f>
        <v>0</v>
      </c>
      <c r="AA40" s="68">
        <v>15</v>
      </c>
      <c r="AB40" s="68">
        <v>7</v>
      </c>
      <c r="AC40" s="68">
        <v>10</v>
      </c>
      <c r="AD40" s="68">
        <v>36</v>
      </c>
      <c r="AE40" s="68">
        <f t="shared" si="29"/>
        <v>4</v>
      </c>
      <c r="AF40" s="68">
        <f t="shared" si="30"/>
        <v>-5</v>
      </c>
      <c r="AG40" s="68">
        <f t="shared" si="31"/>
        <v>4</v>
      </c>
      <c r="AH40" s="68">
        <f t="shared" si="32"/>
        <v>-5</v>
      </c>
      <c r="AI40">
        <v>35</v>
      </c>
      <c r="AJ40">
        <v>50</v>
      </c>
      <c r="AK40">
        <v>2</v>
      </c>
      <c r="AL40">
        <v>0</v>
      </c>
      <c r="AM40">
        <v>0</v>
      </c>
      <c r="AN40">
        <v>0</v>
      </c>
      <c r="AO40">
        <v>0</v>
      </c>
    </row>
    <row r="41" spans="1:41" x14ac:dyDescent="0.3">
      <c r="F41" s="68">
        <v>16</v>
      </c>
      <c r="G41" s="68">
        <v>8</v>
      </c>
      <c r="H41" s="68">
        <v>10</v>
      </c>
      <c r="I41" s="68">
        <v>38</v>
      </c>
      <c r="J41" s="68">
        <f t="shared" si="21"/>
        <v>0</v>
      </c>
      <c r="K41" s="68">
        <f t="shared" si="22"/>
        <v>0</v>
      </c>
      <c r="L41" s="68">
        <f t="shared" si="23"/>
        <v>0</v>
      </c>
      <c r="M41" s="68">
        <f t="shared" si="24"/>
        <v>0</v>
      </c>
      <c r="N41">
        <v>40</v>
      </c>
      <c r="O41">
        <v>30</v>
      </c>
      <c r="P41">
        <v>3</v>
      </c>
      <c r="Q41">
        <f t="shared" si="25"/>
        <v>0</v>
      </c>
      <c r="R41">
        <f t="shared" si="26"/>
        <v>0</v>
      </c>
      <c r="S41">
        <f t="shared" si="27"/>
        <v>0</v>
      </c>
      <c r="T41">
        <f t="shared" si="39"/>
        <v>0</v>
      </c>
      <c r="AA41" s="68">
        <v>16</v>
      </c>
      <c r="AB41" s="68">
        <v>8</v>
      </c>
      <c r="AC41" s="68">
        <v>10</v>
      </c>
      <c r="AD41" s="68">
        <v>38</v>
      </c>
      <c r="AE41" s="68">
        <f t="shared" si="29"/>
        <v>0</v>
      </c>
      <c r="AF41" s="68">
        <f t="shared" si="30"/>
        <v>0</v>
      </c>
      <c r="AG41" s="68">
        <f t="shared" si="31"/>
        <v>0</v>
      </c>
      <c r="AH41" s="68">
        <f t="shared" si="32"/>
        <v>0</v>
      </c>
      <c r="AI41">
        <v>40</v>
      </c>
      <c r="AJ41">
        <v>30</v>
      </c>
      <c r="AK41">
        <v>3</v>
      </c>
      <c r="AL41">
        <f t="shared" si="33"/>
        <v>0</v>
      </c>
      <c r="AM41">
        <f t="shared" si="34"/>
        <v>0</v>
      </c>
      <c r="AN41">
        <f t="shared" si="35"/>
        <v>0</v>
      </c>
      <c r="AO41">
        <f t="shared" ref="AO41:AO42" si="40">MIN(AI41-AD41,AH41)*AK41</f>
        <v>0</v>
      </c>
    </row>
    <row r="42" spans="1:41" x14ac:dyDescent="0.3">
      <c r="F42" s="68">
        <v>17</v>
      </c>
      <c r="G42" s="68">
        <v>9</v>
      </c>
      <c r="H42" s="68">
        <v>10</v>
      </c>
      <c r="I42" s="68">
        <v>29</v>
      </c>
      <c r="J42" s="68">
        <f t="shared" si="21"/>
        <v>21</v>
      </c>
      <c r="K42" s="68">
        <f t="shared" si="22"/>
        <v>0</v>
      </c>
      <c r="L42" s="68">
        <f t="shared" si="23"/>
        <v>21</v>
      </c>
      <c r="M42" s="68">
        <f t="shared" si="24"/>
        <v>0</v>
      </c>
      <c r="N42">
        <v>31</v>
      </c>
      <c r="O42">
        <v>20</v>
      </c>
      <c r="P42">
        <v>1</v>
      </c>
      <c r="Q42">
        <f t="shared" si="25"/>
        <v>2</v>
      </c>
      <c r="R42">
        <f t="shared" si="26"/>
        <v>2</v>
      </c>
      <c r="S42">
        <f t="shared" si="27"/>
        <v>0</v>
      </c>
      <c r="T42">
        <f t="shared" si="39"/>
        <v>0</v>
      </c>
      <c r="AA42" s="68">
        <v>17</v>
      </c>
      <c r="AB42" s="68">
        <v>9</v>
      </c>
      <c r="AC42" s="68">
        <v>10</v>
      </c>
      <c r="AD42" s="68">
        <v>29</v>
      </c>
      <c r="AE42" s="68">
        <f t="shared" si="29"/>
        <v>21</v>
      </c>
      <c r="AF42" s="68">
        <f t="shared" si="30"/>
        <v>0</v>
      </c>
      <c r="AG42" s="68">
        <f t="shared" si="31"/>
        <v>21</v>
      </c>
      <c r="AH42" s="68">
        <f t="shared" si="32"/>
        <v>0</v>
      </c>
      <c r="AI42">
        <v>31</v>
      </c>
      <c r="AJ42">
        <v>20</v>
      </c>
      <c r="AK42">
        <v>1</v>
      </c>
      <c r="AL42">
        <f t="shared" si="33"/>
        <v>2</v>
      </c>
      <c r="AM42">
        <f t="shared" si="34"/>
        <v>2</v>
      </c>
      <c r="AN42">
        <f t="shared" si="35"/>
        <v>0</v>
      </c>
      <c r="AO42">
        <f t="shared" si="40"/>
        <v>0</v>
      </c>
    </row>
    <row r="43" spans="1:41" x14ac:dyDescent="0.3">
      <c r="O43">
        <f>SUM(O26:O42)</f>
        <v>830</v>
      </c>
      <c r="Q43">
        <f>SUM(Q26:Q42)</f>
        <v>95</v>
      </c>
      <c r="R43">
        <f>SUM(R26:R42)</f>
        <v>53</v>
      </c>
      <c r="S43">
        <f>SUM(S26:S42)</f>
        <v>46</v>
      </c>
      <c r="T43">
        <f>SUM(T26:T42)</f>
        <v>2</v>
      </c>
      <c r="AJ43">
        <f>SUM(AJ26:AJ42)</f>
        <v>830</v>
      </c>
      <c r="AL43">
        <f>SUM(AL26:AL42)</f>
        <v>87</v>
      </c>
      <c r="AM43">
        <f>SUM(AM26:AM42)</f>
        <v>45</v>
      </c>
      <c r="AN43">
        <f>SUM(AN26:AN42)</f>
        <v>46</v>
      </c>
      <c r="AO43">
        <f>SUM(AO26:AO42)</f>
        <v>2</v>
      </c>
    </row>
    <row r="44" spans="1:41" x14ac:dyDescent="0.3">
      <c r="O44" t="s">
        <v>110</v>
      </c>
      <c r="Q44" t="s">
        <v>109</v>
      </c>
      <c r="AJ44" t="s">
        <v>110</v>
      </c>
      <c r="AL44" t="s">
        <v>109</v>
      </c>
    </row>
    <row r="46" spans="1:41" x14ac:dyDescent="0.3">
      <c r="Q46">
        <f>O43-Q43</f>
        <v>735</v>
      </c>
      <c r="R46">
        <f>$O$19-R43</f>
        <v>777</v>
      </c>
      <c r="S46">
        <f>$O$19-S43</f>
        <v>784</v>
      </c>
      <c r="T46">
        <f>$O$19-T43</f>
        <v>828</v>
      </c>
      <c r="AL46">
        <f>AJ43-AL43</f>
        <v>743</v>
      </c>
      <c r="AM46">
        <f>$O$19-AM43</f>
        <v>785</v>
      </c>
      <c r="AN46">
        <f>$O$19-AN43</f>
        <v>784</v>
      </c>
      <c r="AO46">
        <f>$O$19-AO43</f>
        <v>828</v>
      </c>
    </row>
    <row r="47" spans="1:41" x14ac:dyDescent="0.3">
      <c r="I47" t="s">
        <v>111</v>
      </c>
      <c r="Q47" t="s">
        <v>108</v>
      </c>
    </row>
  </sheetData>
  <conditionalFormatting sqref="J2:M18">
    <cfRule type="cellIs" dxfId="11" priority="7" operator="equal">
      <formula>0</formula>
    </cfRule>
  </conditionalFormatting>
  <conditionalFormatting sqref="J26:M42">
    <cfRule type="cellIs" dxfId="10" priority="2" operator="equal">
      <formula>0</formula>
    </cfRule>
  </conditionalFormatting>
  <conditionalFormatting sqref="AE2:AH18">
    <cfRule type="cellIs" dxfId="9" priority="3" operator="equal">
      <formula>0</formula>
    </cfRule>
  </conditionalFormatting>
  <conditionalFormatting sqref="AE26:AH42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7030-9BFA-4958-8174-B802D1A3A875}">
  <dimension ref="A1:AC56"/>
  <sheetViews>
    <sheetView zoomScale="76" zoomScaleNormal="76" workbookViewId="0">
      <selection activeCell="P18" sqref="P18"/>
    </sheetView>
  </sheetViews>
  <sheetFormatPr defaultRowHeight="14.4" x14ac:dyDescent="0.3"/>
  <cols>
    <col min="9" max="9" width="9.109375" customWidth="1"/>
  </cols>
  <sheetData>
    <row r="1" spans="1:29" ht="16.2" thickBot="1" x14ac:dyDescent="0.35">
      <c r="B1" s="58" t="s">
        <v>48</v>
      </c>
      <c r="C1" s="59" t="s">
        <v>49</v>
      </c>
      <c r="D1" s="59" t="s">
        <v>50</v>
      </c>
      <c r="E1" s="59" t="s">
        <v>51</v>
      </c>
      <c r="F1" s="60" t="s">
        <v>52</v>
      </c>
      <c r="G1" s="64" t="s">
        <v>59</v>
      </c>
      <c r="P1">
        <v>5</v>
      </c>
      <c r="Q1">
        <v>4</v>
      </c>
      <c r="R1">
        <v>3</v>
      </c>
      <c r="S1">
        <v>2</v>
      </c>
      <c r="T1">
        <v>1</v>
      </c>
      <c r="W1" s="69">
        <v>1.25</v>
      </c>
      <c r="X1" s="69"/>
      <c r="Y1" s="74">
        <f>W1</f>
        <v>1.25</v>
      </c>
      <c r="Z1" s="74"/>
    </row>
    <row r="2" spans="1:29" ht="15.6" x14ac:dyDescent="0.3">
      <c r="A2" s="61">
        <v>1</v>
      </c>
      <c r="B2" s="2">
        <v>0</v>
      </c>
      <c r="C2" s="52">
        <v>0</v>
      </c>
      <c r="D2" s="52">
        <v>0</v>
      </c>
      <c r="E2" s="55">
        <v>0</v>
      </c>
      <c r="F2" s="7">
        <v>2</v>
      </c>
      <c r="G2">
        <f>I$17+$B2*I$18+$C2*I$19+$D2*I$20+$E2*I$21</f>
        <v>2.5005829770695684</v>
      </c>
      <c r="H2">
        <f>J$17+$B2*J$18+$C2*J$19+$D2*J$20+$E2*J$21</f>
        <v>2.4892086330935252</v>
      </c>
      <c r="I2">
        <f>K$17+$B2*K$18+$C2*K$19+$D2*K$20+$E2*K$21</f>
        <v>2.3636363636363642</v>
      </c>
      <c r="J2">
        <f>L$17+$B2*L$18+$C2*L$19+$D2*L$20+$E2*L$21</f>
        <v>2.1470588235294117</v>
      </c>
      <c r="K2">
        <f>M$17+$B2*M$18+$C2*M$19+$D2*M$20+$E2*M$21</f>
        <v>1.0714285714285714</v>
      </c>
      <c r="P2">
        <f>G2-$F2</f>
        <v>0.50058297706956845</v>
      </c>
      <c r="Q2">
        <f t="shared" ref="Q2:T2" si="0">H2-$F2</f>
        <v>0.48920863309352525</v>
      </c>
      <c r="R2">
        <f t="shared" si="0"/>
        <v>0.3636363636363642</v>
      </c>
      <c r="S2">
        <f t="shared" si="0"/>
        <v>0.14705882352941169</v>
      </c>
      <c r="T2">
        <f t="shared" si="0"/>
        <v>-0.9285714285714286</v>
      </c>
      <c r="V2">
        <v>0</v>
      </c>
      <c r="W2">
        <f>V2*$W$1+$X$1</f>
        <v>0</v>
      </c>
      <c r="X2">
        <f>V2*$Y$1+$Z$1</f>
        <v>0</v>
      </c>
    </row>
    <row r="3" spans="1:29" ht="15.6" x14ac:dyDescent="0.3">
      <c r="A3" s="62">
        <f>A2+1</f>
        <v>2</v>
      </c>
      <c r="B3">
        <v>1</v>
      </c>
      <c r="C3" s="53">
        <v>0</v>
      </c>
      <c r="D3" s="53">
        <v>0</v>
      </c>
      <c r="E3" s="56">
        <v>1</v>
      </c>
      <c r="F3" s="51">
        <v>2</v>
      </c>
      <c r="G3">
        <f t="shared" ref="G3:I16" si="1">I$17+$B3*I$18+$C3*I$19+$D3*I$20+$E3*I$21</f>
        <v>1.346677030703459</v>
      </c>
      <c r="H3">
        <f t="shared" si="1"/>
        <v>1.3139568345323744</v>
      </c>
      <c r="I3">
        <f t="shared" si="1"/>
        <v>1.2145454545454553</v>
      </c>
      <c r="J3">
        <f t="shared" ref="J3:J16" si="2">L$17+$B3*L$18+$C3*L$19+$D3*L$20+$E3*L$21</f>
        <v>1.2058823529411764</v>
      </c>
      <c r="K3">
        <f t="shared" ref="K3:K16" si="3">M$17+$B3*M$18+$C3*M$19+$D3*M$20+$E3*M$21</f>
        <v>1.0714285714285714</v>
      </c>
      <c r="P3">
        <f t="shared" ref="P3:P15" si="4">G3-$F3</f>
        <v>-0.65332296929654099</v>
      </c>
      <c r="Q3">
        <f t="shared" ref="Q3:Q15" si="5">H3-$F3</f>
        <v>-0.68604316546762556</v>
      </c>
      <c r="R3">
        <f t="shared" ref="R3:R15" si="6">I3-$F3</f>
        <v>-0.78545454545454474</v>
      </c>
      <c r="S3">
        <f t="shared" ref="S3:S15" si="7">J3-$F3</f>
        <v>-0.79411764705882359</v>
      </c>
      <c r="T3">
        <f t="shared" ref="T3:T15" si="8">K3-$F3</f>
        <v>-0.9285714285714286</v>
      </c>
      <c r="V3">
        <v>0.5</v>
      </c>
      <c r="W3">
        <f t="shared" ref="W3:W15" si="9">V3*$W$1+$X$1</f>
        <v>0.625</v>
      </c>
      <c r="X3">
        <f t="shared" ref="X3:X15" si="10">V3*$Y$1+$Z$1</f>
        <v>0.625</v>
      </c>
    </row>
    <row r="4" spans="1:29" ht="15.6" x14ac:dyDescent="0.3">
      <c r="A4" s="62">
        <f t="shared" ref="A4:A15" si="11">A3+1</f>
        <v>3</v>
      </c>
      <c r="B4">
        <v>1</v>
      </c>
      <c r="C4" s="53">
        <v>1</v>
      </c>
      <c r="D4" s="53">
        <v>0</v>
      </c>
      <c r="E4" s="56">
        <v>1</v>
      </c>
      <c r="F4" s="51">
        <v>1</v>
      </c>
      <c r="G4">
        <f t="shared" si="1"/>
        <v>1.0956082394092499</v>
      </c>
      <c r="H4">
        <f t="shared" si="1"/>
        <v>1.0837410071942446</v>
      </c>
      <c r="I4">
        <f t="shared" si="1"/>
        <v>1.2145454545454553</v>
      </c>
      <c r="J4">
        <f t="shared" si="2"/>
        <v>1.2058823529411764</v>
      </c>
      <c r="K4">
        <f t="shared" si="3"/>
        <v>1.0714285714285714</v>
      </c>
      <c r="L4">
        <v>1</v>
      </c>
      <c r="M4">
        <v>10.928571428571427</v>
      </c>
      <c r="N4">
        <v>0.88352263406092724</v>
      </c>
      <c r="P4">
        <f t="shared" si="4"/>
        <v>9.5608239409249896E-2</v>
      </c>
      <c r="Q4">
        <f t="shared" si="5"/>
        <v>8.3741007194244599E-2</v>
      </c>
      <c r="R4">
        <f t="shared" si="6"/>
        <v>0.21454545454545526</v>
      </c>
      <c r="S4">
        <f t="shared" si="7"/>
        <v>0.20588235294117641</v>
      </c>
      <c r="T4">
        <f t="shared" si="8"/>
        <v>7.1428571428571397E-2</v>
      </c>
      <c r="V4">
        <v>1</v>
      </c>
      <c r="W4">
        <f t="shared" si="9"/>
        <v>1.25</v>
      </c>
      <c r="X4">
        <f t="shared" si="10"/>
        <v>1.25</v>
      </c>
      <c r="Z4">
        <v>1</v>
      </c>
      <c r="AA4">
        <f>(1-Z4)*V4+Z4*L4</f>
        <v>1</v>
      </c>
      <c r="AB4">
        <f t="shared" ref="AB4:AB14" si="12">(1-Z4)*W4+Z4*M4</f>
        <v>10.928571428571427</v>
      </c>
      <c r="AC4">
        <f>(1-Z4)*X4+Z4*M4</f>
        <v>10.928571428571427</v>
      </c>
    </row>
    <row r="5" spans="1:29" ht="15.6" x14ac:dyDescent="0.3">
      <c r="A5" s="62">
        <f t="shared" si="11"/>
        <v>4</v>
      </c>
      <c r="B5">
        <v>1</v>
      </c>
      <c r="C5" s="53">
        <v>1</v>
      </c>
      <c r="D5" s="53">
        <v>0</v>
      </c>
      <c r="E5" s="56">
        <v>0</v>
      </c>
      <c r="F5" s="51">
        <v>2</v>
      </c>
      <c r="G5">
        <f t="shared" si="1"/>
        <v>1.893509521958803</v>
      </c>
      <c r="H5">
        <f t="shared" si="1"/>
        <v>1.922589928057554</v>
      </c>
      <c r="I5">
        <f t="shared" si="1"/>
        <v>2.0690909090909098</v>
      </c>
      <c r="J5">
        <f t="shared" si="2"/>
        <v>2.1470588235294117</v>
      </c>
      <c r="K5">
        <f t="shared" si="3"/>
        <v>1.0714285714285714</v>
      </c>
      <c r="L5">
        <v>1.5</v>
      </c>
      <c r="M5">
        <f>(M4+M6)/2</f>
        <v>6.6260504201680668</v>
      </c>
      <c r="N5">
        <f>(N4+N6)/2</f>
        <v>0.65314546477705326</v>
      </c>
      <c r="P5">
        <f t="shared" si="4"/>
        <v>-0.10649047804119705</v>
      </c>
      <c r="Q5">
        <f t="shared" si="5"/>
        <v>-7.7410071942445979E-2</v>
      </c>
      <c r="R5">
        <f t="shared" si="6"/>
        <v>6.9090909090909758E-2</v>
      </c>
      <c r="S5">
        <f t="shared" si="7"/>
        <v>0.14705882352941169</v>
      </c>
      <c r="T5">
        <f t="shared" si="8"/>
        <v>-0.9285714285714286</v>
      </c>
      <c r="V5">
        <v>1.5</v>
      </c>
      <c r="W5">
        <f t="shared" si="9"/>
        <v>1.875</v>
      </c>
      <c r="X5">
        <f t="shared" si="10"/>
        <v>1.875</v>
      </c>
      <c r="Z5">
        <v>0.9</v>
      </c>
      <c r="AA5">
        <f t="shared" ref="AA5:AA14" si="13">(1-Z5)*V5+Z5*L5</f>
        <v>1.5</v>
      </c>
      <c r="AB5">
        <f t="shared" si="12"/>
        <v>6.1509453781512606</v>
      </c>
      <c r="AC5">
        <f t="shared" ref="AC5:AC14" si="14">(1-Z5)*X5+Z5*M5</f>
        <v>6.1509453781512606</v>
      </c>
    </row>
    <row r="6" spans="1:29" ht="16.2" thickBot="1" x14ac:dyDescent="0.35">
      <c r="A6" s="62">
        <f t="shared" si="11"/>
        <v>5</v>
      </c>
      <c r="B6" s="49">
        <v>1</v>
      </c>
      <c r="C6" s="54">
        <v>1</v>
      </c>
      <c r="D6" s="54">
        <v>0</v>
      </c>
      <c r="E6" s="57">
        <v>2</v>
      </c>
      <c r="F6" s="8">
        <v>0</v>
      </c>
      <c r="G6">
        <f t="shared" si="1"/>
        <v>0.29770695685969684</v>
      </c>
      <c r="H6">
        <f t="shared" si="1"/>
        <v>0.2448920863309354</v>
      </c>
      <c r="I6">
        <f t="shared" si="1"/>
        <v>0.36000000000000076</v>
      </c>
      <c r="J6">
        <f t="shared" si="2"/>
        <v>0.26470588235294112</v>
      </c>
      <c r="K6">
        <f t="shared" si="3"/>
        <v>1.0714285714285714</v>
      </c>
      <c r="L6">
        <v>2</v>
      </c>
      <c r="M6">
        <v>2.3235294117647056</v>
      </c>
      <c r="N6">
        <v>0.42276829549317924</v>
      </c>
      <c r="P6">
        <f t="shared" si="4"/>
        <v>0.29770695685969684</v>
      </c>
      <c r="Q6">
        <f t="shared" si="5"/>
        <v>0.2448920863309354</v>
      </c>
      <c r="R6">
        <f t="shared" si="6"/>
        <v>0.36000000000000076</v>
      </c>
      <c r="S6">
        <f t="shared" si="7"/>
        <v>0.26470588235294112</v>
      </c>
      <c r="T6">
        <f t="shared" si="8"/>
        <v>1.0714285714285714</v>
      </c>
      <c r="V6">
        <v>2</v>
      </c>
      <c r="W6">
        <f t="shared" si="9"/>
        <v>2.5</v>
      </c>
      <c r="X6">
        <f t="shared" si="10"/>
        <v>2.5</v>
      </c>
      <c r="Z6">
        <v>0.8</v>
      </c>
      <c r="AA6">
        <f t="shared" si="13"/>
        <v>2</v>
      </c>
      <c r="AB6">
        <f t="shared" si="12"/>
        <v>2.3588235294117643</v>
      </c>
      <c r="AC6">
        <f t="shared" si="14"/>
        <v>2.3588235294117643</v>
      </c>
    </row>
    <row r="7" spans="1:29" ht="15.6" x14ac:dyDescent="0.3">
      <c r="A7" s="62">
        <f t="shared" si="11"/>
        <v>6</v>
      </c>
      <c r="B7" s="2">
        <v>1</v>
      </c>
      <c r="C7" s="52">
        <v>0</v>
      </c>
      <c r="D7" s="52">
        <v>1</v>
      </c>
      <c r="E7" s="55">
        <v>2</v>
      </c>
      <c r="F7" s="7">
        <v>0</v>
      </c>
      <c r="G7">
        <f t="shared" si="1"/>
        <v>0.41702293043140326</v>
      </c>
      <c r="H7">
        <f t="shared" si="1"/>
        <v>0.47510791366906502</v>
      </c>
      <c r="I7">
        <f t="shared" si="1"/>
        <v>0.36000000000000076</v>
      </c>
      <c r="J7">
        <f t="shared" si="2"/>
        <v>0.26470588235294112</v>
      </c>
      <c r="K7">
        <f t="shared" si="3"/>
        <v>1.0714285714285714</v>
      </c>
      <c r="L7">
        <v>2.5</v>
      </c>
      <c r="M7">
        <f>(M6+M8)/2</f>
        <v>1.9726737967914438</v>
      </c>
      <c r="N7">
        <f>(N6+N8)/2</f>
        <v>0.39519894254798416</v>
      </c>
      <c r="P7">
        <f t="shared" si="4"/>
        <v>0.41702293043140326</v>
      </c>
      <c r="Q7">
        <f t="shared" si="5"/>
        <v>0.47510791366906502</v>
      </c>
      <c r="R7">
        <f t="shared" si="6"/>
        <v>0.36000000000000076</v>
      </c>
      <c r="S7">
        <f t="shared" si="7"/>
        <v>0.26470588235294112</v>
      </c>
      <c r="T7">
        <f t="shared" si="8"/>
        <v>1.0714285714285714</v>
      </c>
      <c r="V7">
        <v>2.5</v>
      </c>
      <c r="W7">
        <f t="shared" si="9"/>
        <v>3.125</v>
      </c>
      <c r="X7">
        <f t="shared" si="10"/>
        <v>3.125</v>
      </c>
      <c r="Z7">
        <v>0.7</v>
      </c>
      <c r="AA7">
        <f t="shared" si="13"/>
        <v>2.5</v>
      </c>
      <c r="AB7">
        <f t="shared" si="12"/>
        <v>2.3183716577540108</v>
      </c>
      <c r="AC7">
        <f t="shared" si="14"/>
        <v>2.3183716577540108</v>
      </c>
    </row>
    <row r="8" spans="1:29" ht="15.6" x14ac:dyDescent="0.3">
      <c r="A8" s="62">
        <f t="shared" si="11"/>
        <v>7</v>
      </c>
      <c r="B8">
        <v>0</v>
      </c>
      <c r="C8" s="53">
        <v>1</v>
      </c>
      <c r="D8" s="53">
        <v>0</v>
      </c>
      <c r="E8" s="56">
        <v>0</v>
      </c>
      <c r="F8" s="51">
        <v>2</v>
      </c>
      <c r="G8">
        <f t="shared" si="1"/>
        <v>2.2495141857753591</v>
      </c>
      <c r="H8">
        <f t="shared" si="1"/>
        <v>2.2589928057553958</v>
      </c>
      <c r="I8">
        <f t="shared" si="1"/>
        <v>2.3636363636363642</v>
      </c>
      <c r="J8">
        <f t="shared" si="2"/>
        <v>2.1470588235294117</v>
      </c>
      <c r="K8">
        <f t="shared" si="3"/>
        <v>1.0714285714285714</v>
      </c>
      <c r="L8">
        <v>3</v>
      </c>
      <c r="M8">
        <v>1.621818181818182</v>
      </c>
      <c r="N8">
        <v>0.36762958960278913</v>
      </c>
      <c r="P8">
        <f t="shared" si="4"/>
        <v>0.24951418577535911</v>
      </c>
      <c r="Q8">
        <f t="shared" si="5"/>
        <v>0.25899280575539585</v>
      </c>
      <c r="R8">
        <f t="shared" si="6"/>
        <v>0.3636363636363642</v>
      </c>
      <c r="S8">
        <f t="shared" si="7"/>
        <v>0.14705882352941169</v>
      </c>
      <c r="T8">
        <f t="shared" si="8"/>
        <v>-0.9285714285714286</v>
      </c>
      <c r="V8">
        <v>3</v>
      </c>
      <c r="W8">
        <f t="shared" si="9"/>
        <v>3.75</v>
      </c>
      <c r="X8">
        <f t="shared" si="10"/>
        <v>3.75</v>
      </c>
      <c r="Z8">
        <v>0.6</v>
      </c>
      <c r="AA8">
        <f t="shared" si="13"/>
        <v>3</v>
      </c>
      <c r="AB8">
        <f t="shared" si="12"/>
        <v>2.4730909090909092</v>
      </c>
      <c r="AC8">
        <f t="shared" si="14"/>
        <v>2.4730909090909092</v>
      </c>
    </row>
    <row r="9" spans="1:29" ht="15.6" x14ac:dyDescent="0.3">
      <c r="A9" s="62">
        <f t="shared" si="11"/>
        <v>8</v>
      </c>
      <c r="B9">
        <v>0</v>
      </c>
      <c r="C9" s="53">
        <v>1</v>
      </c>
      <c r="D9" s="53">
        <v>1</v>
      </c>
      <c r="E9" s="56">
        <v>2</v>
      </c>
      <c r="F9" s="51">
        <v>1</v>
      </c>
      <c r="G9">
        <f t="shared" si="1"/>
        <v>0.5219588029537503</v>
      </c>
      <c r="H9">
        <f t="shared" si="1"/>
        <v>0.58129496402877723</v>
      </c>
      <c r="I9">
        <f t="shared" si="1"/>
        <v>0.65454545454545521</v>
      </c>
      <c r="J9">
        <f t="shared" si="2"/>
        <v>0.26470588235294112</v>
      </c>
      <c r="K9">
        <f t="shared" si="3"/>
        <v>1.0714285714285714</v>
      </c>
      <c r="L9">
        <v>3.5</v>
      </c>
      <c r="M9">
        <f>(M8+M10)/2</f>
        <v>1.5381033355134077</v>
      </c>
      <c r="N9">
        <f>(N8+N10)/2</f>
        <v>0.36562316602134348</v>
      </c>
      <c r="P9">
        <f t="shared" si="4"/>
        <v>-0.4780411970462497</v>
      </c>
      <c r="Q9">
        <f t="shared" si="5"/>
        <v>-0.41870503597122277</v>
      </c>
      <c r="R9">
        <f t="shared" si="6"/>
        <v>-0.34545454545454479</v>
      </c>
      <c r="S9">
        <f t="shared" si="7"/>
        <v>-0.73529411764705888</v>
      </c>
      <c r="T9">
        <f t="shared" si="8"/>
        <v>7.1428571428571397E-2</v>
      </c>
      <c r="V9">
        <v>3.5</v>
      </c>
      <c r="W9">
        <f t="shared" si="9"/>
        <v>4.375</v>
      </c>
      <c r="X9">
        <f t="shared" si="10"/>
        <v>4.375</v>
      </c>
      <c r="Z9">
        <v>0.5</v>
      </c>
      <c r="AA9">
        <f t="shared" si="13"/>
        <v>3.5</v>
      </c>
      <c r="AB9">
        <f t="shared" si="12"/>
        <v>2.9565516677567039</v>
      </c>
      <c r="AC9">
        <f t="shared" si="14"/>
        <v>2.9565516677567039</v>
      </c>
    </row>
    <row r="10" spans="1:29" ht="15.6" x14ac:dyDescent="0.3">
      <c r="A10" s="62">
        <f t="shared" si="11"/>
        <v>9</v>
      </c>
      <c r="B10">
        <v>2</v>
      </c>
      <c r="C10" s="53">
        <v>1</v>
      </c>
      <c r="D10" s="53">
        <v>0</v>
      </c>
      <c r="E10" s="56">
        <v>2</v>
      </c>
      <c r="F10" s="51">
        <v>0</v>
      </c>
      <c r="G10">
        <f t="shared" si="1"/>
        <v>-5.8297706956859985E-2</v>
      </c>
      <c r="H10">
        <f t="shared" si="1"/>
        <v>-9.151079136690643E-2</v>
      </c>
      <c r="I10">
        <f t="shared" si="1"/>
        <v>6.5454545454546098E-2</v>
      </c>
      <c r="J10">
        <f t="shared" si="2"/>
        <v>0.26470588235294112</v>
      </c>
      <c r="K10">
        <f t="shared" si="3"/>
        <v>1.0714285714285714</v>
      </c>
      <c r="L10">
        <v>4</v>
      </c>
      <c r="M10">
        <v>1.4543884892086332</v>
      </c>
      <c r="N10">
        <v>0.36361674243989789</v>
      </c>
      <c r="P10">
        <f t="shared" si="4"/>
        <v>-5.8297706956859985E-2</v>
      </c>
      <c r="Q10">
        <f t="shared" si="5"/>
        <v>-9.151079136690643E-2</v>
      </c>
      <c r="R10">
        <f t="shared" si="6"/>
        <v>6.5454545454546098E-2</v>
      </c>
      <c r="S10">
        <f t="shared" si="7"/>
        <v>0.26470588235294112</v>
      </c>
      <c r="T10">
        <f t="shared" si="8"/>
        <v>1.0714285714285714</v>
      </c>
      <c r="V10">
        <v>4</v>
      </c>
      <c r="W10">
        <f t="shared" si="9"/>
        <v>5</v>
      </c>
      <c r="X10">
        <f t="shared" si="10"/>
        <v>5</v>
      </c>
      <c r="Z10">
        <v>0.4</v>
      </c>
      <c r="AA10">
        <f t="shared" si="13"/>
        <v>4</v>
      </c>
      <c r="AB10">
        <f t="shared" si="12"/>
        <v>3.5817553956834534</v>
      </c>
      <c r="AC10">
        <f t="shared" si="14"/>
        <v>3.5817553956834534</v>
      </c>
    </row>
    <row r="11" spans="1:29" ht="16.2" thickBot="1" x14ac:dyDescent="0.35">
      <c r="A11" s="62">
        <f t="shared" si="11"/>
        <v>10</v>
      </c>
      <c r="B11" s="49">
        <v>2</v>
      </c>
      <c r="C11" s="54">
        <v>0</v>
      </c>
      <c r="D11" s="54">
        <v>1</v>
      </c>
      <c r="E11" s="57">
        <v>2</v>
      </c>
      <c r="F11" s="8">
        <v>0</v>
      </c>
      <c r="G11">
        <f t="shared" si="1"/>
        <v>6.1018266614846217E-2</v>
      </c>
      <c r="H11">
        <f t="shared" si="1"/>
        <v>0.13870503597122319</v>
      </c>
      <c r="I11">
        <f t="shared" si="1"/>
        <v>6.5454545454546098E-2</v>
      </c>
      <c r="J11">
        <f t="shared" si="2"/>
        <v>0.26470588235294112</v>
      </c>
      <c r="K11">
        <f t="shared" si="3"/>
        <v>1.0714285714285714</v>
      </c>
      <c r="L11">
        <v>4.5</v>
      </c>
      <c r="M11">
        <f>(M10+M12)/2</f>
        <v>1.4415354805157041</v>
      </c>
      <c r="N11">
        <f>(N10+N12)/2</f>
        <v>0.37079795240253521</v>
      </c>
      <c r="P11">
        <f t="shared" si="4"/>
        <v>6.1018266614846217E-2</v>
      </c>
      <c r="Q11">
        <f t="shared" si="5"/>
        <v>0.13870503597122319</v>
      </c>
      <c r="R11">
        <f t="shared" si="6"/>
        <v>6.5454545454546098E-2</v>
      </c>
      <c r="S11">
        <f t="shared" si="7"/>
        <v>0.26470588235294112</v>
      </c>
      <c r="T11">
        <f t="shared" si="8"/>
        <v>1.0714285714285714</v>
      </c>
      <c r="V11">
        <v>4.5</v>
      </c>
      <c r="W11">
        <f t="shared" si="9"/>
        <v>5.625</v>
      </c>
      <c r="X11">
        <f t="shared" si="10"/>
        <v>5.625</v>
      </c>
      <c r="Z11">
        <v>0.3</v>
      </c>
      <c r="AA11">
        <f t="shared" si="13"/>
        <v>4.5</v>
      </c>
      <c r="AB11">
        <f t="shared" si="12"/>
        <v>4.3699606441547107</v>
      </c>
      <c r="AC11">
        <f t="shared" si="14"/>
        <v>4.3699606441547107</v>
      </c>
    </row>
    <row r="12" spans="1:29" ht="15.6" x14ac:dyDescent="0.3">
      <c r="A12" s="62">
        <f t="shared" si="11"/>
        <v>11</v>
      </c>
      <c r="B12">
        <v>2</v>
      </c>
      <c r="C12" s="53">
        <v>0</v>
      </c>
      <c r="D12" s="53">
        <v>0</v>
      </c>
      <c r="E12" s="56">
        <v>0</v>
      </c>
      <c r="F12" s="51">
        <v>2</v>
      </c>
      <c r="G12">
        <f t="shared" si="1"/>
        <v>1.7885736494364552</v>
      </c>
      <c r="H12">
        <f t="shared" si="1"/>
        <v>1.8164028776978418</v>
      </c>
      <c r="I12">
        <f t="shared" si="1"/>
        <v>1.7745454545454551</v>
      </c>
      <c r="J12">
        <f t="shared" si="2"/>
        <v>2.1470588235294117</v>
      </c>
      <c r="K12">
        <f t="shared" si="3"/>
        <v>1.0714285714285714</v>
      </c>
      <c r="L12">
        <v>5</v>
      </c>
      <c r="M12">
        <v>1.4286824718227751</v>
      </c>
      <c r="N12">
        <v>0.37797916236517259</v>
      </c>
      <c r="P12">
        <f t="shared" si="4"/>
        <v>-0.21142635056354475</v>
      </c>
      <c r="Q12">
        <f t="shared" si="5"/>
        <v>-0.18359712230215819</v>
      </c>
      <c r="R12">
        <f t="shared" si="6"/>
        <v>-0.22545454545454491</v>
      </c>
      <c r="S12">
        <f t="shared" si="7"/>
        <v>0.14705882352941169</v>
      </c>
      <c r="T12">
        <f t="shared" si="8"/>
        <v>-0.9285714285714286</v>
      </c>
      <c r="V12">
        <v>5</v>
      </c>
      <c r="W12">
        <f t="shared" si="9"/>
        <v>6.25</v>
      </c>
      <c r="X12">
        <f t="shared" si="10"/>
        <v>6.25</v>
      </c>
      <c r="Z12">
        <v>0.2</v>
      </c>
      <c r="AA12">
        <f t="shared" si="13"/>
        <v>5</v>
      </c>
      <c r="AB12">
        <f t="shared" si="12"/>
        <v>5.2857364943645546</v>
      </c>
      <c r="AC12">
        <f t="shared" si="14"/>
        <v>5.2857364943645546</v>
      </c>
    </row>
    <row r="13" spans="1:29" ht="15.6" x14ac:dyDescent="0.3">
      <c r="A13" s="62">
        <f t="shared" si="11"/>
        <v>12</v>
      </c>
      <c r="B13">
        <v>2</v>
      </c>
      <c r="C13" s="53">
        <v>0</v>
      </c>
      <c r="D13" s="53">
        <v>0</v>
      </c>
      <c r="E13" s="56">
        <v>1</v>
      </c>
      <c r="F13" s="51">
        <v>1</v>
      </c>
      <c r="G13">
        <f t="shared" si="1"/>
        <v>0.99067236688690219</v>
      </c>
      <c r="H13">
        <f t="shared" si="1"/>
        <v>0.9775539568345325</v>
      </c>
      <c r="I13">
        <f t="shared" si="1"/>
        <v>0.9200000000000006</v>
      </c>
      <c r="J13">
        <f t="shared" si="2"/>
        <v>1.2058823529411764</v>
      </c>
      <c r="K13">
        <f t="shared" si="3"/>
        <v>1.0714285714285714</v>
      </c>
      <c r="P13">
        <f t="shared" si="4"/>
        <v>-9.3276331130978107E-3</v>
      </c>
      <c r="Q13">
        <f t="shared" si="5"/>
        <v>-2.24460431654675E-2</v>
      </c>
      <c r="R13">
        <f t="shared" si="6"/>
        <v>-7.9999999999999405E-2</v>
      </c>
      <c r="S13">
        <f t="shared" si="7"/>
        <v>0.20588235294117641</v>
      </c>
      <c r="T13">
        <f t="shared" si="8"/>
        <v>7.1428571428571397E-2</v>
      </c>
      <c r="V13">
        <v>5.5</v>
      </c>
      <c r="W13">
        <f t="shared" si="9"/>
        <v>6.875</v>
      </c>
      <c r="X13">
        <f t="shared" si="10"/>
        <v>6.875</v>
      </c>
      <c r="Z13">
        <v>0.1</v>
      </c>
      <c r="AA13">
        <f>(1-Z13)*V13+Z13*L13</f>
        <v>4.95</v>
      </c>
      <c r="AB13">
        <f t="shared" si="12"/>
        <v>6.1875</v>
      </c>
      <c r="AC13">
        <f t="shared" si="14"/>
        <v>6.1875</v>
      </c>
    </row>
    <row r="14" spans="1:29" ht="15.6" x14ac:dyDescent="0.3">
      <c r="A14" s="62">
        <f t="shared" si="11"/>
        <v>13</v>
      </c>
      <c r="B14">
        <v>2</v>
      </c>
      <c r="C14" s="53">
        <v>0</v>
      </c>
      <c r="D14" s="53">
        <v>0</v>
      </c>
      <c r="E14" s="56">
        <v>2</v>
      </c>
      <c r="F14" s="51">
        <v>0</v>
      </c>
      <c r="G14">
        <f t="shared" si="1"/>
        <v>0.19277108433734913</v>
      </c>
      <c r="H14">
        <f t="shared" si="1"/>
        <v>0.13870503597122319</v>
      </c>
      <c r="I14">
        <f t="shared" si="1"/>
        <v>6.5454545454546098E-2</v>
      </c>
      <c r="J14">
        <f t="shared" si="2"/>
        <v>0.26470588235294112</v>
      </c>
      <c r="K14">
        <f t="shared" si="3"/>
        <v>1.0714285714285714</v>
      </c>
      <c r="P14">
        <f t="shared" si="4"/>
        <v>0.19277108433734913</v>
      </c>
      <c r="Q14">
        <f t="shared" si="5"/>
        <v>0.13870503597122319</v>
      </c>
      <c r="R14">
        <f t="shared" si="6"/>
        <v>6.5454545454546098E-2</v>
      </c>
      <c r="S14">
        <f t="shared" si="7"/>
        <v>0.26470588235294112</v>
      </c>
      <c r="T14">
        <f t="shared" si="8"/>
        <v>1.0714285714285714</v>
      </c>
      <c r="V14">
        <v>6</v>
      </c>
      <c r="W14">
        <f t="shared" si="9"/>
        <v>7.5</v>
      </c>
      <c r="X14">
        <f t="shared" si="10"/>
        <v>7.5</v>
      </c>
      <c r="Z14">
        <v>0</v>
      </c>
      <c r="AA14">
        <f t="shared" si="13"/>
        <v>6</v>
      </c>
      <c r="AB14">
        <f t="shared" si="12"/>
        <v>7.5</v>
      </c>
      <c r="AC14">
        <f t="shared" si="14"/>
        <v>7.5</v>
      </c>
    </row>
    <row r="15" spans="1:29" ht="16.2" thickBot="1" x14ac:dyDescent="0.35">
      <c r="A15" s="63">
        <f t="shared" si="11"/>
        <v>14</v>
      </c>
      <c r="B15" s="49">
        <v>0</v>
      </c>
      <c r="C15" s="54">
        <v>0</v>
      </c>
      <c r="D15" s="54">
        <v>0</v>
      </c>
      <c r="E15" s="57">
        <v>1</v>
      </c>
      <c r="F15" s="8">
        <v>2</v>
      </c>
      <c r="G15">
        <f t="shared" si="1"/>
        <v>1.7026816945200154</v>
      </c>
      <c r="H15">
        <f t="shared" si="1"/>
        <v>1.650359712230216</v>
      </c>
      <c r="I15">
        <f t="shared" si="1"/>
        <v>1.5090909090909097</v>
      </c>
      <c r="J15">
        <f t="shared" si="2"/>
        <v>1.2058823529411764</v>
      </c>
      <c r="K15">
        <f t="shared" si="3"/>
        <v>1.0714285714285714</v>
      </c>
      <c r="P15">
        <f t="shared" si="4"/>
        <v>-0.29731830547998461</v>
      </c>
      <c r="Q15">
        <f t="shared" si="5"/>
        <v>-0.34964028776978395</v>
      </c>
      <c r="R15">
        <f t="shared" si="6"/>
        <v>-0.4909090909090903</v>
      </c>
      <c r="S15">
        <f t="shared" si="7"/>
        <v>-0.79411764705882359</v>
      </c>
      <c r="T15">
        <f t="shared" si="8"/>
        <v>-0.9285714285714286</v>
      </c>
      <c r="V15">
        <v>6.5</v>
      </c>
      <c r="W15">
        <f t="shared" si="9"/>
        <v>8.125</v>
      </c>
      <c r="X15">
        <f t="shared" si="10"/>
        <v>8.125</v>
      </c>
    </row>
    <row r="16" spans="1:29" x14ac:dyDescent="0.3">
      <c r="B16">
        <v>2</v>
      </c>
      <c r="C16" s="53">
        <v>1</v>
      </c>
      <c r="D16" s="53">
        <v>0</v>
      </c>
      <c r="E16" s="56">
        <v>2</v>
      </c>
      <c r="G16">
        <f t="shared" si="1"/>
        <v>-5.8297706956859985E-2</v>
      </c>
      <c r="H16">
        <f t="shared" si="1"/>
        <v>-9.151079136690643E-2</v>
      </c>
      <c r="I16">
        <f t="shared" si="1"/>
        <v>6.5454545454546098E-2</v>
      </c>
      <c r="J16">
        <f t="shared" si="2"/>
        <v>0.26470588235294112</v>
      </c>
      <c r="K16">
        <f t="shared" si="3"/>
        <v>1.0714285714285714</v>
      </c>
    </row>
    <row r="17" spans="1:26" ht="15.6" x14ac:dyDescent="0.3">
      <c r="A17" s="64">
        <f>MAX(A2:A15)</f>
        <v>14</v>
      </c>
      <c r="B17">
        <f>SUM(B2:B15)</f>
        <v>15</v>
      </c>
      <c r="C17">
        <f>SUM(C2:C15)</f>
        <v>6</v>
      </c>
      <c r="D17">
        <f>SUM(D2:D15)</f>
        <v>3</v>
      </c>
      <c r="E17">
        <f>SUM(E2:E15)</f>
        <v>16</v>
      </c>
      <c r="F17">
        <f t="shared" ref="F17" si="15">SUM(F2:F15)</f>
        <v>15</v>
      </c>
      <c r="G17">
        <f>MDETERM(A17:E21)</f>
        <v>5146</v>
      </c>
      <c r="H17" t="s">
        <v>53</v>
      </c>
      <c r="I17" s="65">
        <f>G23/G17</f>
        <v>2.5005829770695684</v>
      </c>
      <c r="J17" s="66">
        <f>S27</f>
        <v>2.4892086330935252</v>
      </c>
      <c r="K17" s="66">
        <f>Z27</f>
        <v>2.3636363636363642</v>
      </c>
      <c r="L17" s="66">
        <v>2.1470588235294117</v>
      </c>
      <c r="M17">
        <f>15/14</f>
        <v>1.0714285714285714</v>
      </c>
    </row>
    <row r="18" spans="1:26" x14ac:dyDescent="0.3">
      <c r="A18">
        <f>B17</f>
        <v>15</v>
      </c>
      <c r="B18">
        <f>SUMPRODUCT($B$2:$B$15,B2:B15)</f>
        <v>25</v>
      </c>
      <c r="C18">
        <f t="shared" ref="C18:E18" si="16">SUMPRODUCT($B$2:$B$15,C2:C15)</f>
        <v>5</v>
      </c>
      <c r="D18">
        <f t="shared" si="16"/>
        <v>3</v>
      </c>
      <c r="E18">
        <f t="shared" si="16"/>
        <v>20</v>
      </c>
      <c r="F18">
        <f t="shared" ref="F18" si="17">SUMPRODUCT($B$2:$B$15,F2:F15)</f>
        <v>11</v>
      </c>
      <c r="H18" t="s">
        <v>54</v>
      </c>
      <c r="I18" s="65">
        <f>G29/G17</f>
        <v>-0.3560046638165566</v>
      </c>
      <c r="J18" s="66">
        <f>S32</f>
        <v>-0.33640287769784172</v>
      </c>
      <c r="K18" s="66">
        <f>Z32</f>
        <v>-0.29454545454545455</v>
      </c>
      <c r="L18" s="66"/>
      <c r="P18">
        <f>SUMPRODUCT(P2:P15,P2:P15)</f>
        <v>1.4286824718227751</v>
      </c>
      <c r="Q18">
        <f t="shared" ref="Q18:T18" si="18">SUMPRODUCT(Q2:Q15,Q2:Q15)</f>
        <v>1.4543884892086332</v>
      </c>
      <c r="R18">
        <f t="shared" si="18"/>
        <v>1.621818181818182</v>
      </c>
      <c r="S18">
        <f t="shared" si="18"/>
        <v>2.3235294117647056</v>
      </c>
      <c r="T18">
        <f t="shared" si="18"/>
        <v>10.928571428571427</v>
      </c>
      <c r="V18">
        <v>1.4286824718227751</v>
      </c>
      <c r="W18">
        <v>1.4543884892086332</v>
      </c>
      <c r="X18">
        <v>1.621818181818182</v>
      </c>
      <c r="Y18">
        <v>2.3235294117647056</v>
      </c>
      <c r="Z18">
        <v>10.928571428571427</v>
      </c>
    </row>
    <row r="19" spans="1:26" x14ac:dyDescent="0.3">
      <c r="A19">
        <f>C17</f>
        <v>6</v>
      </c>
      <c r="B19">
        <f>SUMPRODUCT($C$2:$C$15,B$2:B$15)</f>
        <v>5</v>
      </c>
      <c r="C19">
        <f t="shared" ref="C19:E19" si="19">SUMPRODUCT($C$2:$C$15,C$2:C$15)</f>
        <v>6</v>
      </c>
      <c r="D19">
        <f t="shared" si="19"/>
        <v>1</v>
      </c>
      <c r="E19">
        <f t="shared" si="19"/>
        <v>7</v>
      </c>
      <c r="F19">
        <f>SUMPRODUCT($C$2:$C$15,F$2:F$15)</f>
        <v>6</v>
      </c>
      <c r="H19" t="s">
        <v>55</v>
      </c>
      <c r="I19" s="65">
        <f>G35/G17</f>
        <v>-0.25106879129420917</v>
      </c>
      <c r="J19" s="66">
        <f>S37</f>
        <v>-0.23021582733812959</v>
      </c>
      <c r="K19">
        <f>0</f>
        <v>0</v>
      </c>
      <c r="L19" s="66"/>
      <c r="P19">
        <f>SQRT(P18/($A$17-P1+1))</f>
        <v>0.37797916236517259</v>
      </c>
      <c r="Q19">
        <f t="shared" ref="Q19:T19" si="20">SQRT(Q18/($A$17-Q1+1))</f>
        <v>0.36361674243989789</v>
      </c>
      <c r="R19">
        <f t="shared" si="20"/>
        <v>0.36762958960278913</v>
      </c>
      <c r="S19">
        <f t="shared" si="20"/>
        <v>0.42276829549317924</v>
      </c>
      <c r="T19">
        <f t="shared" si="20"/>
        <v>0.88352263406092724</v>
      </c>
      <c r="V19">
        <v>0.37797916236517259</v>
      </c>
      <c r="W19">
        <v>0.36361674243989789</v>
      </c>
      <c r="X19">
        <v>0.36762958960278913</v>
      </c>
      <c r="Y19">
        <v>0.42276829549317924</v>
      </c>
      <c r="Z19">
        <v>0.88352263406092724</v>
      </c>
    </row>
    <row r="20" spans="1:26" x14ac:dyDescent="0.3">
      <c r="A20">
        <f>D17</f>
        <v>3</v>
      </c>
      <c r="B20">
        <f>SUMPRODUCT($D$2:$D$15,B$2:B$15)</f>
        <v>3</v>
      </c>
      <c r="C20">
        <f t="shared" ref="C20:F20" si="21">SUMPRODUCT($D$2:$D$15,C$2:C$15)</f>
        <v>1</v>
      </c>
      <c r="D20">
        <f t="shared" si="21"/>
        <v>3</v>
      </c>
      <c r="E20">
        <f t="shared" si="21"/>
        <v>6</v>
      </c>
      <c r="F20">
        <f t="shared" si="21"/>
        <v>1</v>
      </c>
      <c r="H20" t="s">
        <v>56</v>
      </c>
      <c r="I20" s="65">
        <f>G41/G17</f>
        <v>-0.13175281772250283</v>
      </c>
      <c r="J20">
        <v>0</v>
      </c>
      <c r="K20">
        <f>0</f>
        <v>0</v>
      </c>
      <c r="L20" s="66"/>
    </row>
    <row r="21" spans="1:26" x14ac:dyDescent="0.3">
      <c r="A21">
        <f>E17</f>
        <v>16</v>
      </c>
      <c r="B21">
        <f>SUMPRODUCT($E$2:$E$15,B$2:B$15)</f>
        <v>20</v>
      </c>
      <c r="C21">
        <f t="shared" ref="C21:F21" si="22">SUMPRODUCT($E$2:$E$15,C$2:C$15)</f>
        <v>7</v>
      </c>
      <c r="D21">
        <f t="shared" si="22"/>
        <v>6</v>
      </c>
      <c r="E21">
        <f>SUMPRODUCT($E$2:$E$15,E$2:E$15)</f>
        <v>28</v>
      </c>
      <c r="F21">
        <f t="shared" si="22"/>
        <v>8</v>
      </c>
      <c r="H21" t="s">
        <v>57</v>
      </c>
      <c r="I21" s="65">
        <f>G47/G17</f>
        <v>-0.79790128254955306</v>
      </c>
      <c r="J21" s="66">
        <f>S42</f>
        <v>-0.83884892086330931</v>
      </c>
      <c r="K21" s="66">
        <f>Z37</f>
        <v>-0.8545454545454545</v>
      </c>
      <c r="L21" s="66">
        <v>-0.94117647058823528</v>
      </c>
    </row>
    <row r="22" spans="1:26" x14ac:dyDescent="0.3">
      <c r="F22" t="s">
        <v>58</v>
      </c>
      <c r="L22">
        <v>14</v>
      </c>
      <c r="M22">
        <v>15</v>
      </c>
      <c r="N22">
        <v>6</v>
      </c>
      <c r="O22">
        <v>16</v>
      </c>
      <c r="P22">
        <v>15</v>
      </c>
      <c r="Q22">
        <f>MDETERM(L22:O25)</f>
        <v>3475</v>
      </c>
      <c r="U22">
        <v>14</v>
      </c>
      <c r="V22">
        <v>15</v>
      </c>
      <c r="W22">
        <v>16</v>
      </c>
      <c r="X22">
        <v>15</v>
      </c>
      <c r="Y22">
        <f>MDETERM(U22:W24)</f>
        <v>1100</v>
      </c>
    </row>
    <row r="23" spans="1:26" x14ac:dyDescent="0.3">
      <c r="A23">
        <f>F17</f>
        <v>15</v>
      </c>
      <c r="B23">
        <v>15</v>
      </c>
      <c r="C23">
        <v>6</v>
      </c>
      <c r="D23">
        <v>3</v>
      </c>
      <c r="E23">
        <v>16</v>
      </c>
      <c r="G23">
        <f>MDETERM(A23:E27)</f>
        <v>12867.999999999998</v>
      </c>
      <c r="L23">
        <v>15</v>
      </c>
      <c r="M23">
        <v>25</v>
      </c>
      <c r="N23">
        <v>5</v>
      </c>
      <c r="O23">
        <v>20</v>
      </c>
      <c r="P23">
        <v>11</v>
      </c>
      <c r="U23">
        <v>15</v>
      </c>
      <c r="V23">
        <v>25</v>
      </c>
      <c r="W23">
        <v>20</v>
      </c>
      <c r="X23">
        <v>11</v>
      </c>
    </row>
    <row r="24" spans="1:26" x14ac:dyDescent="0.3">
      <c r="A24">
        <f t="shared" ref="A24:A27" si="23">F18</f>
        <v>11</v>
      </c>
      <c r="B24">
        <v>25</v>
      </c>
      <c r="C24">
        <v>5</v>
      </c>
      <c r="D24">
        <v>3</v>
      </c>
      <c r="E24">
        <v>20</v>
      </c>
      <c r="L24">
        <v>6</v>
      </c>
      <c r="M24">
        <v>5</v>
      </c>
      <c r="N24">
        <v>6</v>
      </c>
      <c r="O24">
        <v>7</v>
      </c>
      <c r="P24">
        <v>6</v>
      </c>
      <c r="U24">
        <v>16</v>
      </c>
      <c r="V24">
        <v>20</v>
      </c>
      <c r="W24">
        <v>28</v>
      </c>
      <c r="X24">
        <v>8</v>
      </c>
    </row>
    <row r="25" spans="1:26" x14ac:dyDescent="0.3">
      <c r="A25">
        <f t="shared" si="23"/>
        <v>6</v>
      </c>
      <c r="B25">
        <v>5</v>
      </c>
      <c r="C25">
        <v>6</v>
      </c>
      <c r="D25">
        <v>1</v>
      </c>
      <c r="E25">
        <v>7</v>
      </c>
      <c r="L25">
        <v>16</v>
      </c>
      <c r="M25">
        <v>20</v>
      </c>
      <c r="N25">
        <v>7</v>
      </c>
      <c r="O25">
        <v>28</v>
      </c>
      <c r="P25">
        <v>8</v>
      </c>
    </row>
    <row r="26" spans="1:26" x14ac:dyDescent="0.3">
      <c r="A26">
        <f t="shared" si="23"/>
        <v>1</v>
      </c>
      <c r="B26">
        <v>3</v>
      </c>
      <c r="C26">
        <v>1</v>
      </c>
      <c r="D26">
        <v>3</v>
      </c>
      <c r="E26">
        <v>6</v>
      </c>
    </row>
    <row r="27" spans="1:26" x14ac:dyDescent="0.3">
      <c r="A27">
        <f t="shared" si="23"/>
        <v>8</v>
      </c>
      <c r="B27">
        <v>20</v>
      </c>
      <c r="C27">
        <v>7</v>
      </c>
      <c r="D27">
        <v>6</v>
      </c>
      <c r="E27">
        <v>28</v>
      </c>
      <c r="L27">
        <v>15</v>
      </c>
      <c r="M27">
        <v>15</v>
      </c>
      <c r="N27">
        <v>6</v>
      </c>
      <c r="O27">
        <v>16</v>
      </c>
      <c r="Q27">
        <f>MDETERM(L27:O30)</f>
        <v>8650</v>
      </c>
      <c r="S27" s="66">
        <f>Q27/$Q$22</f>
        <v>2.4892086330935252</v>
      </c>
      <c r="U27">
        <v>15</v>
      </c>
      <c r="V27">
        <v>15</v>
      </c>
      <c r="W27">
        <v>16</v>
      </c>
      <c r="Y27">
        <f>MDETERM(U27:W29)</f>
        <v>2600.0000000000005</v>
      </c>
      <c r="Z27" s="66">
        <f>Y27/$Y$22</f>
        <v>2.3636363636363642</v>
      </c>
    </row>
    <row r="28" spans="1:26" x14ac:dyDescent="0.3">
      <c r="L28">
        <v>11</v>
      </c>
      <c r="M28">
        <v>25</v>
      </c>
      <c r="N28">
        <v>5</v>
      </c>
      <c r="O28">
        <v>20</v>
      </c>
      <c r="S28" s="66"/>
      <c r="U28">
        <v>11</v>
      </c>
      <c r="V28">
        <v>25</v>
      </c>
      <c r="W28">
        <v>20</v>
      </c>
    </row>
    <row r="29" spans="1:26" x14ac:dyDescent="0.3">
      <c r="A29">
        <v>14</v>
      </c>
      <c r="B29">
        <f>F17</f>
        <v>15</v>
      </c>
      <c r="C29">
        <v>6</v>
      </c>
      <c r="D29">
        <v>3</v>
      </c>
      <c r="E29">
        <v>16</v>
      </c>
      <c r="G29">
        <f>MDETERM(A29:E33)</f>
        <v>-1832.0000000000002</v>
      </c>
      <c r="L29">
        <v>6</v>
      </c>
      <c r="M29">
        <v>5</v>
      </c>
      <c r="N29">
        <v>6</v>
      </c>
      <c r="O29">
        <v>7</v>
      </c>
      <c r="S29" s="66"/>
      <c r="U29">
        <v>8</v>
      </c>
      <c r="V29">
        <v>20</v>
      </c>
      <c r="W29">
        <v>28</v>
      </c>
    </row>
    <row r="30" spans="1:26" x14ac:dyDescent="0.3">
      <c r="A30">
        <v>15</v>
      </c>
      <c r="B30">
        <f t="shared" ref="B30:B33" si="24">F18</f>
        <v>11</v>
      </c>
      <c r="C30">
        <v>5</v>
      </c>
      <c r="D30">
        <v>3</v>
      </c>
      <c r="E30">
        <v>20</v>
      </c>
      <c r="L30">
        <v>8</v>
      </c>
      <c r="M30">
        <v>20</v>
      </c>
      <c r="N30">
        <v>7</v>
      </c>
      <c r="O30">
        <v>28</v>
      </c>
      <c r="S30" s="66"/>
    </row>
    <row r="31" spans="1:26" x14ac:dyDescent="0.3">
      <c r="A31">
        <v>6</v>
      </c>
      <c r="B31">
        <f t="shared" si="24"/>
        <v>6</v>
      </c>
      <c r="C31">
        <v>6</v>
      </c>
      <c r="D31">
        <v>1</v>
      </c>
      <c r="E31">
        <v>7</v>
      </c>
      <c r="S31" s="66"/>
    </row>
    <row r="32" spans="1:26" x14ac:dyDescent="0.3">
      <c r="A32">
        <v>3</v>
      </c>
      <c r="B32">
        <f t="shared" si="24"/>
        <v>1</v>
      </c>
      <c r="C32">
        <v>1</v>
      </c>
      <c r="D32">
        <v>3</v>
      </c>
      <c r="E32">
        <v>6</v>
      </c>
      <c r="L32">
        <v>14</v>
      </c>
      <c r="M32">
        <v>15</v>
      </c>
      <c r="N32">
        <v>6</v>
      </c>
      <c r="O32">
        <v>16</v>
      </c>
      <c r="Q32">
        <f>MDETERM(L32:O35)</f>
        <v>-1169</v>
      </c>
      <c r="S32" s="66">
        <f>Q32/$Q$22</f>
        <v>-0.33640287769784172</v>
      </c>
      <c r="U32">
        <v>14</v>
      </c>
      <c r="V32">
        <v>15</v>
      </c>
      <c r="W32">
        <v>16</v>
      </c>
      <c r="Y32">
        <f>MDETERM(U32:W34)</f>
        <v>-324</v>
      </c>
      <c r="Z32" s="66">
        <f>Y32/$Y$22</f>
        <v>-0.29454545454545455</v>
      </c>
    </row>
    <row r="33" spans="1:26" x14ac:dyDescent="0.3">
      <c r="A33">
        <v>16</v>
      </c>
      <c r="B33">
        <f t="shared" si="24"/>
        <v>8</v>
      </c>
      <c r="C33">
        <v>7</v>
      </c>
      <c r="D33">
        <v>6</v>
      </c>
      <c r="E33">
        <v>28</v>
      </c>
      <c r="L33">
        <v>15</v>
      </c>
      <c r="M33">
        <v>11</v>
      </c>
      <c r="N33">
        <v>5</v>
      </c>
      <c r="O33">
        <v>20</v>
      </c>
      <c r="S33" s="66"/>
      <c r="U33">
        <v>15</v>
      </c>
      <c r="V33">
        <v>11</v>
      </c>
      <c r="W33">
        <v>20</v>
      </c>
    </row>
    <row r="34" spans="1:26" x14ac:dyDescent="0.3">
      <c r="L34">
        <v>6</v>
      </c>
      <c r="M34">
        <v>6</v>
      </c>
      <c r="N34">
        <v>6</v>
      </c>
      <c r="O34">
        <v>7</v>
      </c>
      <c r="S34" s="66"/>
      <c r="U34">
        <v>16</v>
      </c>
      <c r="V34">
        <v>8</v>
      </c>
      <c r="W34">
        <v>28</v>
      </c>
    </row>
    <row r="35" spans="1:26" x14ac:dyDescent="0.3">
      <c r="A35">
        <v>14</v>
      </c>
      <c r="B35">
        <v>15</v>
      </c>
      <c r="C35">
        <f>F17</f>
        <v>15</v>
      </c>
      <c r="D35">
        <v>3</v>
      </c>
      <c r="E35">
        <v>16</v>
      </c>
      <c r="G35">
        <f>MDETERM(A35:E39)</f>
        <v>-1292.0000000000005</v>
      </c>
      <c r="L35">
        <v>16</v>
      </c>
      <c r="M35">
        <v>8</v>
      </c>
      <c r="N35">
        <v>7</v>
      </c>
      <c r="O35">
        <v>28</v>
      </c>
      <c r="S35" s="66"/>
    </row>
    <row r="36" spans="1:26" x14ac:dyDescent="0.3">
      <c r="A36">
        <v>15</v>
      </c>
      <c r="B36">
        <v>25</v>
      </c>
      <c r="C36">
        <f t="shared" ref="C36:C39" si="25">F18</f>
        <v>11</v>
      </c>
      <c r="D36">
        <v>3</v>
      </c>
      <c r="E36">
        <v>20</v>
      </c>
      <c r="S36" s="66"/>
    </row>
    <row r="37" spans="1:26" x14ac:dyDescent="0.3">
      <c r="A37">
        <v>6</v>
      </c>
      <c r="B37">
        <v>5</v>
      </c>
      <c r="C37">
        <f t="shared" si="25"/>
        <v>6</v>
      </c>
      <c r="D37">
        <v>1</v>
      </c>
      <c r="E37">
        <v>7</v>
      </c>
      <c r="L37">
        <v>14</v>
      </c>
      <c r="M37">
        <v>15</v>
      </c>
      <c r="N37">
        <v>15</v>
      </c>
      <c r="O37">
        <v>16</v>
      </c>
      <c r="Q37">
        <f>MDETERM(L37:O40)</f>
        <v>-800.00000000000034</v>
      </c>
      <c r="S37" s="66">
        <f>Q37/$Q$22</f>
        <v>-0.23021582733812959</v>
      </c>
      <c r="U37">
        <v>14</v>
      </c>
      <c r="V37">
        <v>15</v>
      </c>
      <c r="W37">
        <v>15</v>
      </c>
      <c r="Y37">
        <f>MDETERM(U37:W39)</f>
        <v>-940</v>
      </c>
      <c r="Z37" s="66">
        <f>Y37/$Y$22</f>
        <v>-0.8545454545454545</v>
      </c>
    </row>
    <row r="38" spans="1:26" x14ac:dyDescent="0.3">
      <c r="A38">
        <v>3</v>
      </c>
      <c r="B38">
        <v>3</v>
      </c>
      <c r="C38">
        <f t="shared" si="25"/>
        <v>1</v>
      </c>
      <c r="D38">
        <v>3</v>
      </c>
      <c r="E38">
        <v>6</v>
      </c>
      <c r="L38">
        <v>15</v>
      </c>
      <c r="M38">
        <v>25</v>
      </c>
      <c r="N38">
        <v>11</v>
      </c>
      <c r="O38">
        <v>20</v>
      </c>
      <c r="S38" s="66"/>
      <c r="U38">
        <v>15</v>
      </c>
      <c r="V38">
        <v>25</v>
      </c>
      <c r="W38">
        <v>11</v>
      </c>
    </row>
    <row r="39" spans="1:26" x14ac:dyDescent="0.3">
      <c r="A39">
        <v>16</v>
      </c>
      <c r="B39">
        <v>20</v>
      </c>
      <c r="C39">
        <f t="shared" si="25"/>
        <v>8</v>
      </c>
      <c r="D39">
        <v>6</v>
      </c>
      <c r="E39">
        <v>28</v>
      </c>
      <c r="L39">
        <v>6</v>
      </c>
      <c r="M39">
        <v>5</v>
      </c>
      <c r="N39">
        <v>6</v>
      </c>
      <c r="O39">
        <v>7</v>
      </c>
      <c r="S39" s="66"/>
      <c r="U39">
        <v>16</v>
      </c>
      <c r="V39">
        <v>20</v>
      </c>
      <c r="W39">
        <v>8</v>
      </c>
    </row>
    <row r="40" spans="1:26" x14ac:dyDescent="0.3">
      <c r="L40">
        <v>16</v>
      </c>
      <c r="M40">
        <v>20</v>
      </c>
      <c r="N40">
        <v>8</v>
      </c>
      <c r="O40">
        <v>28</v>
      </c>
      <c r="S40" s="66"/>
    </row>
    <row r="41" spans="1:26" x14ac:dyDescent="0.3">
      <c r="A41">
        <v>14</v>
      </c>
      <c r="B41">
        <v>15</v>
      </c>
      <c r="C41">
        <v>6</v>
      </c>
      <c r="D41">
        <f>F17</f>
        <v>15</v>
      </c>
      <c r="E41">
        <v>16</v>
      </c>
      <c r="G41">
        <f>MDETERM(A41:E45)</f>
        <v>-677.99999999999955</v>
      </c>
      <c r="S41" s="66"/>
    </row>
    <row r="42" spans="1:26" x14ac:dyDescent="0.3">
      <c r="A42">
        <v>15</v>
      </c>
      <c r="B42">
        <v>25</v>
      </c>
      <c r="C42">
        <v>5</v>
      </c>
      <c r="D42">
        <f t="shared" ref="D42:D45" si="26">F18</f>
        <v>11</v>
      </c>
      <c r="E42">
        <v>20</v>
      </c>
      <c r="L42">
        <v>14</v>
      </c>
      <c r="M42">
        <v>15</v>
      </c>
      <c r="N42">
        <v>6</v>
      </c>
      <c r="O42">
        <v>15</v>
      </c>
      <c r="Q42">
        <f>MDETERM(L42:O45)</f>
        <v>-2915</v>
      </c>
      <c r="S42" s="66">
        <f>Q42/$Q$22</f>
        <v>-0.83884892086330931</v>
      </c>
    </row>
    <row r="43" spans="1:26" x14ac:dyDescent="0.3">
      <c r="A43">
        <v>6</v>
      </c>
      <c r="B43">
        <v>5</v>
      </c>
      <c r="C43">
        <v>6</v>
      </c>
      <c r="D43">
        <f t="shared" si="26"/>
        <v>6</v>
      </c>
      <c r="E43">
        <v>7</v>
      </c>
      <c r="L43">
        <v>15</v>
      </c>
      <c r="M43">
        <v>25</v>
      </c>
      <c r="N43">
        <v>5</v>
      </c>
      <c r="O43">
        <v>11</v>
      </c>
    </row>
    <row r="44" spans="1:26" x14ac:dyDescent="0.3">
      <c r="A44">
        <v>3</v>
      </c>
      <c r="B44">
        <v>3</v>
      </c>
      <c r="C44">
        <v>1</v>
      </c>
      <c r="D44">
        <f t="shared" si="26"/>
        <v>1</v>
      </c>
      <c r="E44">
        <v>6</v>
      </c>
      <c r="L44">
        <v>6</v>
      </c>
      <c r="M44">
        <v>5</v>
      </c>
      <c r="N44">
        <v>6</v>
      </c>
      <c r="O44">
        <v>6</v>
      </c>
    </row>
    <row r="45" spans="1:26" x14ac:dyDescent="0.3">
      <c r="A45">
        <v>16</v>
      </c>
      <c r="B45">
        <v>20</v>
      </c>
      <c r="C45">
        <v>7</v>
      </c>
      <c r="D45">
        <f t="shared" si="26"/>
        <v>8</v>
      </c>
      <c r="E45">
        <v>28</v>
      </c>
      <c r="L45">
        <v>16</v>
      </c>
      <c r="M45">
        <v>20</v>
      </c>
      <c r="N45">
        <v>7</v>
      </c>
      <c r="O45">
        <v>8</v>
      </c>
    </row>
    <row r="47" spans="1:26" x14ac:dyDescent="0.3">
      <c r="A47">
        <v>14</v>
      </c>
      <c r="B47">
        <v>15</v>
      </c>
      <c r="C47">
        <v>6</v>
      </c>
      <c r="D47">
        <v>3</v>
      </c>
      <c r="E47">
        <f>F17</f>
        <v>15</v>
      </c>
      <c r="G47">
        <f>MDETERM(A47:E51)</f>
        <v>-4106</v>
      </c>
    </row>
    <row r="48" spans="1:26" x14ac:dyDescent="0.3">
      <c r="A48">
        <v>15</v>
      </c>
      <c r="B48">
        <v>25</v>
      </c>
      <c r="C48">
        <v>5</v>
      </c>
      <c r="D48">
        <v>3</v>
      </c>
      <c r="E48">
        <f t="shared" ref="E48:E51" si="27">F18</f>
        <v>11</v>
      </c>
    </row>
    <row r="49" spans="1:19" x14ac:dyDescent="0.3">
      <c r="A49">
        <v>6</v>
      </c>
      <c r="B49">
        <v>5</v>
      </c>
      <c r="C49">
        <v>6</v>
      </c>
      <c r="D49">
        <v>1</v>
      </c>
      <c r="E49">
        <f t="shared" si="27"/>
        <v>6</v>
      </c>
      <c r="L49">
        <v>14</v>
      </c>
      <c r="M49">
        <v>16</v>
      </c>
      <c r="N49">
        <v>15</v>
      </c>
      <c r="Q49">
        <f>MDETERM(L49:M50)</f>
        <v>136</v>
      </c>
    </row>
    <row r="50" spans="1:19" x14ac:dyDescent="0.3">
      <c r="A50">
        <v>3</v>
      </c>
      <c r="B50">
        <v>3</v>
      </c>
      <c r="C50">
        <v>1</v>
      </c>
      <c r="D50">
        <v>3</v>
      </c>
      <c r="E50">
        <f t="shared" si="27"/>
        <v>1</v>
      </c>
      <c r="L50">
        <v>16</v>
      </c>
      <c r="M50">
        <v>28</v>
      </c>
      <c r="N50">
        <v>8</v>
      </c>
    </row>
    <row r="51" spans="1:19" x14ac:dyDescent="0.3">
      <c r="A51">
        <v>16</v>
      </c>
      <c r="B51">
        <v>20</v>
      </c>
      <c r="C51">
        <v>7</v>
      </c>
      <c r="D51">
        <v>6</v>
      </c>
      <c r="E51">
        <f t="shared" si="27"/>
        <v>8</v>
      </c>
    </row>
    <row r="52" spans="1:19" x14ac:dyDescent="0.3">
      <c r="L52">
        <v>15</v>
      </c>
      <c r="M52">
        <v>16</v>
      </c>
      <c r="Q52">
        <f>MDETERM(L52:M53)</f>
        <v>292</v>
      </c>
      <c r="S52">
        <f>Q52/Q49</f>
        <v>2.1470588235294117</v>
      </c>
    </row>
    <row r="53" spans="1:19" x14ac:dyDescent="0.3">
      <c r="L53">
        <v>8</v>
      </c>
      <c r="M53">
        <v>28</v>
      </c>
    </row>
    <row r="55" spans="1:19" x14ac:dyDescent="0.3">
      <c r="L55">
        <v>14</v>
      </c>
      <c r="M55">
        <v>15</v>
      </c>
      <c r="Q55">
        <f>MDETERM(L55:M56)</f>
        <v>-128</v>
      </c>
      <c r="S55">
        <f>Q55/Q49</f>
        <v>-0.94117647058823528</v>
      </c>
    </row>
    <row r="56" spans="1:19" x14ac:dyDescent="0.3">
      <c r="L56">
        <v>16</v>
      </c>
      <c r="M56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44AA-353C-4590-B263-BB44A32455AC}">
  <dimension ref="A1:C18"/>
  <sheetViews>
    <sheetView workbookViewId="0">
      <selection sqref="A1:A17"/>
    </sheetView>
  </sheetViews>
  <sheetFormatPr defaultRowHeight="14.4" x14ac:dyDescent="0.3"/>
  <sheetData>
    <row r="1" spans="1:3" x14ac:dyDescent="0.3">
      <c r="A1">
        <v>1</v>
      </c>
      <c r="B1">
        <f>A1/$A$18</f>
        <v>1.1904761904761904E-2</v>
      </c>
      <c r="C1" t="s">
        <v>218</v>
      </c>
    </row>
    <row r="2" spans="1:3" x14ac:dyDescent="0.3">
      <c r="A2">
        <v>1</v>
      </c>
      <c r="B2">
        <f>B1+A2/$A$18</f>
        <v>2.3809523809523808E-2</v>
      </c>
    </row>
    <row r="3" spans="1:3" x14ac:dyDescent="0.3">
      <c r="A3">
        <v>3</v>
      </c>
      <c r="B3">
        <f t="shared" ref="B3:B17" si="0">B2+A3/$A$18</f>
        <v>5.9523809523809521E-2</v>
      </c>
    </row>
    <row r="4" spans="1:3" x14ac:dyDescent="0.3">
      <c r="A4">
        <v>4</v>
      </c>
      <c r="B4">
        <f t="shared" si="0"/>
        <v>0.10714285714285714</v>
      </c>
    </row>
    <row r="5" spans="1:3" x14ac:dyDescent="0.3">
      <c r="A5">
        <v>6</v>
      </c>
      <c r="B5">
        <f t="shared" si="0"/>
        <v>0.17857142857142855</v>
      </c>
    </row>
    <row r="6" spans="1:3" x14ac:dyDescent="0.3">
      <c r="A6">
        <v>7</v>
      </c>
      <c r="B6">
        <f t="shared" si="0"/>
        <v>0.26190476190476186</v>
      </c>
    </row>
    <row r="7" spans="1:3" x14ac:dyDescent="0.3">
      <c r="A7">
        <v>7</v>
      </c>
      <c r="B7">
        <f t="shared" si="0"/>
        <v>0.34523809523809518</v>
      </c>
    </row>
    <row r="8" spans="1:3" x14ac:dyDescent="0.3">
      <c r="A8">
        <v>9</v>
      </c>
      <c r="B8">
        <f t="shared" si="0"/>
        <v>0.45238095238095233</v>
      </c>
    </row>
    <row r="9" spans="1:3" x14ac:dyDescent="0.3">
      <c r="A9">
        <v>8</v>
      </c>
      <c r="B9">
        <f t="shared" si="0"/>
        <v>0.54761904761904756</v>
      </c>
    </row>
    <row r="10" spans="1:3" x14ac:dyDescent="0.3">
      <c r="A10">
        <v>8</v>
      </c>
      <c r="B10">
        <f t="shared" si="0"/>
        <v>0.64285714285714279</v>
      </c>
    </row>
    <row r="11" spans="1:3" x14ac:dyDescent="0.3">
      <c r="A11">
        <v>7</v>
      </c>
      <c r="B11">
        <f t="shared" si="0"/>
        <v>0.72619047619047616</v>
      </c>
    </row>
    <row r="12" spans="1:3" x14ac:dyDescent="0.3">
      <c r="A12">
        <v>6</v>
      </c>
      <c r="B12">
        <f t="shared" si="0"/>
        <v>0.79761904761904756</v>
      </c>
    </row>
    <row r="13" spans="1:3" x14ac:dyDescent="0.3">
      <c r="A13">
        <v>6</v>
      </c>
      <c r="B13">
        <f t="shared" si="0"/>
        <v>0.86904761904761896</v>
      </c>
    </row>
    <row r="14" spans="1:3" x14ac:dyDescent="0.3">
      <c r="A14">
        <v>4</v>
      </c>
      <c r="B14">
        <f t="shared" si="0"/>
        <v>0.91666666666666652</v>
      </c>
    </row>
    <row r="15" spans="1:3" x14ac:dyDescent="0.3">
      <c r="A15">
        <v>4</v>
      </c>
      <c r="B15">
        <f t="shared" si="0"/>
        <v>0.96428571428571419</v>
      </c>
    </row>
    <row r="16" spans="1:3" x14ac:dyDescent="0.3">
      <c r="A16">
        <v>2</v>
      </c>
      <c r="B16">
        <f t="shared" si="0"/>
        <v>0.98809523809523803</v>
      </c>
    </row>
    <row r="17" spans="1:2" x14ac:dyDescent="0.3">
      <c r="A17">
        <v>1</v>
      </c>
      <c r="B17">
        <f t="shared" si="0"/>
        <v>0.99999999999999989</v>
      </c>
    </row>
    <row r="18" spans="1:2" x14ac:dyDescent="0.3">
      <c r="A18">
        <f>SUM(A1:A17)</f>
        <v>84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CD00-4361-4B45-A1AB-56B49F2CC28D}">
  <dimension ref="A1:U19"/>
  <sheetViews>
    <sheetView zoomScale="40" zoomScaleNormal="40" workbookViewId="0">
      <selection activeCell="P15" sqref="P15"/>
    </sheetView>
  </sheetViews>
  <sheetFormatPr defaultColWidth="7.77734375" defaultRowHeight="14.4" x14ac:dyDescent="0.3"/>
  <cols>
    <col min="16" max="16" width="11.21875" customWidth="1"/>
  </cols>
  <sheetData>
    <row r="1" spans="1:21" x14ac:dyDescent="0.3">
      <c r="A1" t="s">
        <v>112</v>
      </c>
      <c r="B1">
        <v>0</v>
      </c>
      <c r="C1">
        <f>B1+1</f>
        <v>1</v>
      </c>
      <c r="D1">
        <f t="shared" ref="D1:H1" si="0">C1+1</f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>H1+1</f>
        <v>7</v>
      </c>
      <c r="J1">
        <f t="shared" ref="J1:L1" si="1">I1+1</f>
        <v>8</v>
      </c>
      <c r="K1">
        <f t="shared" si="1"/>
        <v>9</v>
      </c>
      <c r="L1">
        <f t="shared" si="1"/>
        <v>10</v>
      </c>
      <c r="M1">
        <f>L1+1</f>
        <v>11</v>
      </c>
      <c r="N1">
        <f t="shared" ref="N1" si="2">M1+1</f>
        <v>12</v>
      </c>
      <c r="O1">
        <f>N1+1</f>
        <v>13</v>
      </c>
      <c r="P1" t="s">
        <v>156</v>
      </c>
    </row>
    <row r="2" spans="1:21" x14ac:dyDescent="0.3">
      <c r="A2" t="s">
        <v>113</v>
      </c>
      <c r="B2">
        <v>0</v>
      </c>
      <c r="C2">
        <f>1</f>
        <v>1</v>
      </c>
      <c r="D2">
        <f>1</f>
        <v>1</v>
      </c>
      <c r="E2">
        <f>1</f>
        <v>1</v>
      </c>
      <c r="F2">
        <f>1</f>
        <v>1</v>
      </c>
      <c r="G2">
        <f>1</f>
        <v>1</v>
      </c>
      <c r="H2">
        <f>1</f>
        <v>1</v>
      </c>
      <c r="I2">
        <f>1</f>
        <v>1</v>
      </c>
      <c r="J2">
        <f>1</f>
        <v>1</v>
      </c>
      <c r="K2">
        <f>1</f>
        <v>1</v>
      </c>
      <c r="L2">
        <f>1</f>
        <v>1</v>
      </c>
      <c r="M2">
        <f>1</f>
        <v>1</v>
      </c>
      <c r="N2">
        <f>1</f>
        <v>1</v>
      </c>
      <c r="O2">
        <f>1</f>
        <v>1</v>
      </c>
      <c r="P2">
        <v>12</v>
      </c>
    </row>
    <row r="3" spans="1:21" x14ac:dyDescent="0.3">
      <c r="A3" t="s">
        <v>52</v>
      </c>
      <c r="B3">
        <v>0</v>
      </c>
      <c r="C3" s="69">
        <v>1.9</v>
      </c>
      <c r="D3" s="69">
        <v>5.1100000000000003</v>
      </c>
      <c r="E3" s="69">
        <v>6.81</v>
      </c>
      <c r="F3" s="69">
        <v>6.49</v>
      </c>
      <c r="G3" s="69">
        <v>5.28</v>
      </c>
      <c r="H3" s="69">
        <v>4.41</v>
      </c>
      <c r="I3" s="69">
        <v>4.34</v>
      </c>
      <c r="J3" s="69">
        <v>4.76</v>
      </c>
      <c r="K3" s="69">
        <v>5.16</v>
      </c>
      <c r="L3" s="69">
        <v>5.27</v>
      </c>
      <c r="M3" s="69">
        <v>5.14</v>
      </c>
      <c r="N3" s="69">
        <v>4.9800000000000004</v>
      </c>
      <c r="O3">
        <v>4.9000000000000004</v>
      </c>
      <c r="P3">
        <f>SUM(C3:N3)</f>
        <v>59.650000000000006</v>
      </c>
      <c r="R3">
        <f>P2</f>
        <v>12</v>
      </c>
      <c r="S3">
        <f>P4</f>
        <v>3.0000000000000009</v>
      </c>
      <c r="T3">
        <f>P5</f>
        <v>-1.98</v>
      </c>
      <c r="U3">
        <f>P3</f>
        <v>59.650000000000006</v>
      </c>
    </row>
    <row r="4" spans="1:21" x14ac:dyDescent="0.3">
      <c r="A4" t="s">
        <v>149</v>
      </c>
      <c r="B4">
        <f t="shared" ref="B4:N4" si="3">C3-B3</f>
        <v>1.9</v>
      </c>
      <c r="C4">
        <f t="shared" si="3"/>
        <v>3.2100000000000004</v>
      </c>
      <c r="D4">
        <f t="shared" si="3"/>
        <v>1.6999999999999993</v>
      </c>
      <c r="E4">
        <f t="shared" si="3"/>
        <v>-0.3199999999999994</v>
      </c>
      <c r="F4">
        <f t="shared" si="3"/>
        <v>-1.21</v>
      </c>
      <c r="G4">
        <f t="shared" si="3"/>
        <v>-0.87000000000000011</v>
      </c>
      <c r="H4">
        <f t="shared" si="3"/>
        <v>-7.0000000000000284E-2</v>
      </c>
      <c r="I4">
        <f t="shared" si="3"/>
        <v>0.41999999999999993</v>
      </c>
      <c r="J4">
        <f t="shared" si="3"/>
        <v>0.40000000000000036</v>
      </c>
      <c r="K4">
        <f t="shared" si="3"/>
        <v>0.10999999999999943</v>
      </c>
      <c r="L4">
        <f t="shared" si="3"/>
        <v>-0.12999999999999989</v>
      </c>
      <c r="M4">
        <f t="shared" si="3"/>
        <v>-0.15999999999999925</v>
      </c>
      <c r="N4">
        <f t="shared" si="3"/>
        <v>-8.0000000000000071E-2</v>
      </c>
      <c r="P4">
        <f>SUM(C4:N4)</f>
        <v>3.0000000000000009</v>
      </c>
      <c r="R4">
        <f>S3</f>
        <v>3.0000000000000009</v>
      </c>
      <c r="S4">
        <f>P6</f>
        <v>19.529799999999998</v>
      </c>
      <c r="T4">
        <f>P8</f>
        <v>3.2051000000000012</v>
      </c>
      <c r="U4">
        <f>P9</f>
        <v>2.2401000000000022</v>
      </c>
    </row>
    <row r="5" spans="1:21" x14ac:dyDescent="0.3">
      <c r="A5" t="s">
        <v>150</v>
      </c>
      <c r="B5" t="e">
        <f t="shared" ref="B5:N5" si="4">B4-A4</f>
        <v>#VALUE!</v>
      </c>
      <c r="C5">
        <f t="shared" si="4"/>
        <v>1.3100000000000005</v>
      </c>
      <c r="D5">
        <f t="shared" si="4"/>
        <v>-1.5100000000000011</v>
      </c>
      <c r="E5">
        <f t="shared" si="4"/>
        <v>-2.0199999999999987</v>
      </c>
      <c r="F5">
        <f t="shared" si="4"/>
        <v>-0.89000000000000057</v>
      </c>
      <c r="G5">
        <f t="shared" si="4"/>
        <v>0.33999999999999986</v>
      </c>
      <c r="H5">
        <f t="shared" si="4"/>
        <v>0.79999999999999982</v>
      </c>
      <c r="I5">
        <f t="shared" si="4"/>
        <v>0.49000000000000021</v>
      </c>
      <c r="J5">
        <f t="shared" si="4"/>
        <v>-1.9999999999999574E-2</v>
      </c>
      <c r="K5">
        <f t="shared" si="4"/>
        <v>-0.29000000000000092</v>
      </c>
      <c r="L5">
        <f t="shared" si="4"/>
        <v>-0.23999999999999932</v>
      </c>
      <c r="M5">
        <f t="shared" si="4"/>
        <v>-2.9999999999999361E-2</v>
      </c>
      <c r="N5">
        <f t="shared" si="4"/>
        <v>7.9999999999999183E-2</v>
      </c>
      <c r="P5">
        <f>SUM(C5:O5)</f>
        <v>-1.98</v>
      </c>
      <c r="R5">
        <f>T3</f>
        <v>-1.98</v>
      </c>
      <c r="S5">
        <f>T4</f>
        <v>3.2051000000000012</v>
      </c>
      <c r="T5">
        <f>P7</f>
        <v>10.013800000000002</v>
      </c>
      <c r="U5">
        <f>P10</f>
        <v>-19.921800000000005</v>
      </c>
    </row>
    <row r="6" spans="1:21" x14ac:dyDescent="0.3">
      <c r="A6" t="s">
        <v>151</v>
      </c>
      <c r="C6">
        <f t="shared" ref="C6:O6" si="5">B4*B4</f>
        <v>3.61</v>
      </c>
      <c r="D6">
        <f t="shared" si="5"/>
        <v>10.304100000000002</v>
      </c>
      <c r="E6">
        <f t="shared" si="5"/>
        <v>2.8899999999999975</v>
      </c>
      <c r="F6">
        <f t="shared" si="5"/>
        <v>0.10239999999999962</v>
      </c>
      <c r="G6">
        <f t="shared" si="5"/>
        <v>1.4641</v>
      </c>
      <c r="H6">
        <f t="shared" si="5"/>
        <v>0.75690000000000024</v>
      </c>
      <c r="I6">
        <f t="shared" si="5"/>
        <v>4.9000000000000397E-3</v>
      </c>
      <c r="J6">
        <f t="shared" si="5"/>
        <v>0.17639999999999995</v>
      </c>
      <c r="K6">
        <f t="shared" si="5"/>
        <v>0.16000000000000028</v>
      </c>
      <c r="L6">
        <f t="shared" si="5"/>
        <v>1.2099999999999875E-2</v>
      </c>
      <c r="M6">
        <f t="shared" si="5"/>
        <v>1.6899999999999971E-2</v>
      </c>
      <c r="N6">
        <f t="shared" si="5"/>
        <v>2.5599999999999762E-2</v>
      </c>
      <c r="O6">
        <f t="shared" si="5"/>
        <v>6.4000000000000116E-3</v>
      </c>
      <c r="P6">
        <f>SUM(C6:O6)</f>
        <v>19.529799999999998</v>
      </c>
    </row>
    <row r="7" spans="1:21" x14ac:dyDescent="0.3">
      <c r="A7" t="s">
        <v>152</v>
      </c>
      <c r="C7">
        <f t="shared" ref="C7:N7" si="6">C5*C5</f>
        <v>1.7161000000000013</v>
      </c>
      <c r="D7">
        <f t="shared" si="6"/>
        <v>2.2801000000000036</v>
      </c>
      <c r="E7">
        <f t="shared" si="6"/>
        <v>4.0803999999999947</v>
      </c>
      <c r="F7">
        <f t="shared" si="6"/>
        <v>0.79210000000000103</v>
      </c>
      <c r="G7">
        <f t="shared" si="6"/>
        <v>0.1155999999999999</v>
      </c>
      <c r="H7">
        <f t="shared" si="6"/>
        <v>0.63999999999999968</v>
      </c>
      <c r="I7">
        <f t="shared" si="6"/>
        <v>0.2401000000000002</v>
      </c>
      <c r="J7">
        <f t="shared" si="6"/>
        <v>3.9999999999998294E-4</v>
      </c>
      <c r="K7">
        <f t="shared" si="6"/>
        <v>8.4100000000000535E-2</v>
      </c>
      <c r="L7">
        <f t="shared" si="6"/>
        <v>5.7599999999999679E-2</v>
      </c>
      <c r="M7">
        <f t="shared" si="6"/>
        <v>8.9999999999996159E-4</v>
      </c>
      <c r="N7">
        <f t="shared" si="6"/>
        <v>6.3999999999998693E-3</v>
      </c>
      <c r="P7">
        <f>SUM(C7:O7)</f>
        <v>10.013800000000002</v>
      </c>
      <c r="R7">
        <f>U3</f>
        <v>59.650000000000006</v>
      </c>
      <c r="S7">
        <f>S3</f>
        <v>3.0000000000000009</v>
      </c>
      <c r="T7">
        <f>T3</f>
        <v>-1.98</v>
      </c>
    </row>
    <row r="8" spans="1:21" x14ac:dyDescent="0.3">
      <c r="A8" t="s">
        <v>153</v>
      </c>
      <c r="C8">
        <f t="shared" ref="C8:N8" si="7">C4*C5</f>
        <v>4.2051000000000025</v>
      </c>
      <c r="D8">
        <f t="shared" si="7"/>
        <v>-2.5670000000000006</v>
      </c>
      <c r="E8">
        <f t="shared" si="7"/>
        <v>0.64639999999999831</v>
      </c>
      <c r="F8">
        <f t="shared" si="7"/>
        <v>1.0769000000000006</v>
      </c>
      <c r="G8">
        <f t="shared" si="7"/>
        <v>-0.2957999999999999</v>
      </c>
      <c r="H8">
        <f t="shared" si="7"/>
        <v>-5.6000000000000216E-2</v>
      </c>
      <c r="I8">
        <f t="shared" si="7"/>
        <v>0.20580000000000007</v>
      </c>
      <c r="J8">
        <f t="shared" si="7"/>
        <v>-7.9999999999998371E-3</v>
      </c>
      <c r="K8">
        <f t="shared" si="7"/>
        <v>-3.1899999999999935E-2</v>
      </c>
      <c r="L8">
        <f t="shared" si="7"/>
        <v>3.1199999999999888E-2</v>
      </c>
      <c r="M8">
        <f t="shared" si="7"/>
        <v>4.7999999999998755E-3</v>
      </c>
      <c r="N8">
        <f t="shared" si="7"/>
        <v>-6.3999999999999405E-3</v>
      </c>
      <c r="P8">
        <f>SUM(C8:O8)</f>
        <v>3.2051000000000012</v>
      </c>
      <c r="R8">
        <f t="shared" ref="R8:R9" si="8">U4</f>
        <v>2.2401000000000022</v>
      </c>
      <c r="S8">
        <f t="shared" ref="S8:T8" si="9">S4</f>
        <v>19.529799999999998</v>
      </c>
      <c r="T8">
        <f t="shared" si="9"/>
        <v>3.2051000000000012</v>
      </c>
    </row>
    <row r="9" spans="1:21" x14ac:dyDescent="0.3">
      <c r="A9" t="s">
        <v>154</v>
      </c>
      <c r="C9">
        <f>C4*C3</f>
        <v>6.0990000000000002</v>
      </c>
      <c r="D9">
        <f t="shared" ref="D9:N9" si="10">D4*D3</f>
        <v>8.6869999999999976</v>
      </c>
      <c r="E9">
        <f t="shared" si="10"/>
        <v>-2.1791999999999958</v>
      </c>
      <c r="F9">
        <f t="shared" si="10"/>
        <v>-7.8529</v>
      </c>
      <c r="G9">
        <f t="shared" si="10"/>
        <v>-4.5936000000000003</v>
      </c>
      <c r="H9">
        <f t="shared" si="10"/>
        <v>-0.30870000000000125</v>
      </c>
      <c r="I9">
        <f t="shared" si="10"/>
        <v>1.8227999999999995</v>
      </c>
      <c r="J9">
        <f t="shared" si="10"/>
        <v>1.9040000000000017</v>
      </c>
      <c r="K9">
        <f t="shared" si="10"/>
        <v>0.56759999999999711</v>
      </c>
      <c r="L9">
        <f t="shared" si="10"/>
        <v>-0.68509999999999938</v>
      </c>
      <c r="M9">
        <f t="shared" si="10"/>
        <v>-0.82239999999999613</v>
      </c>
      <c r="N9">
        <f t="shared" si="10"/>
        <v>-0.39840000000000036</v>
      </c>
      <c r="P9">
        <f t="shared" ref="P9:P10" si="11">SUM(C9:O9)</f>
        <v>2.2401000000000022</v>
      </c>
      <c r="R9">
        <f t="shared" si="8"/>
        <v>-19.921800000000005</v>
      </c>
      <c r="S9">
        <f t="shared" ref="S9:T9" si="12">S5</f>
        <v>3.2051000000000012</v>
      </c>
      <c r="T9">
        <f t="shared" si="12"/>
        <v>10.013800000000002</v>
      </c>
    </row>
    <row r="10" spans="1:21" x14ac:dyDescent="0.3">
      <c r="A10" t="s">
        <v>155</v>
      </c>
      <c r="C10">
        <f>C5*C3</f>
        <v>2.4890000000000008</v>
      </c>
      <c r="D10">
        <f t="shared" ref="D10:N10" si="13">D5*D3</f>
        <v>-7.7161000000000062</v>
      </c>
      <c r="E10">
        <f t="shared" si="13"/>
        <v>-13.756199999999991</v>
      </c>
      <c r="F10">
        <f t="shared" si="13"/>
        <v>-5.776100000000004</v>
      </c>
      <c r="G10">
        <f t="shared" si="13"/>
        <v>1.7951999999999992</v>
      </c>
      <c r="H10">
        <f t="shared" si="13"/>
        <v>3.5279999999999991</v>
      </c>
      <c r="I10">
        <f t="shared" si="13"/>
        <v>2.1266000000000007</v>
      </c>
      <c r="J10">
        <f t="shared" si="13"/>
        <v>-9.5199999999997967E-2</v>
      </c>
      <c r="K10">
        <f t="shared" si="13"/>
        <v>-1.4964000000000048</v>
      </c>
      <c r="L10">
        <f t="shared" si="13"/>
        <v>-1.2647999999999964</v>
      </c>
      <c r="M10">
        <f t="shared" si="13"/>
        <v>-0.1541999999999967</v>
      </c>
      <c r="N10">
        <f t="shared" si="13"/>
        <v>0.39839999999999598</v>
      </c>
      <c r="P10">
        <f t="shared" si="11"/>
        <v>-19.921800000000005</v>
      </c>
    </row>
    <row r="11" spans="1:21" x14ac:dyDescent="0.3">
      <c r="A11" t="s">
        <v>157</v>
      </c>
      <c r="C11" s="69">
        <f t="shared" ref="C11:N11" si="14">$B$17+$B$19*C5+$B$18*C4</f>
        <v>2.2185713057888314</v>
      </c>
      <c r="D11" s="69">
        <f t="shared" si="14"/>
        <v>5.3727194372782598</v>
      </c>
      <c r="E11" s="69">
        <f t="shared" si="14"/>
        <v>6.8306048918679467</v>
      </c>
      <c r="F11" s="69">
        <f t="shared" si="14"/>
        <v>6.3262232064802895</v>
      </c>
      <c r="G11" s="69">
        <f t="shared" si="14"/>
        <v>5.1123391392189514</v>
      </c>
      <c r="H11" s="69">
        <f t="shared" si="14"/>
        <v>4.3165523712737128</v>
      </c>
      <c r="I11" s="69">
        <f t="shared" si="14"/>
        <v>4.3300324426360772</v>
      </c>
      <c r="J11" s="69">
        <f t="shared" si="14"/>
        <v>4.7718931180270507</v>
      </c>
      <c r="K11" s="69">
        <f t="shared" si="14"/>
        <v>5.1477639962103305</v>
      </c>
      <c r="L11" s="69">
        <f t="shared" si="14"/>
        <v>5.2273633983809402</v>
      </c>
      <c r="M11" s="69">
        <f t="shared" si="14"/>
        <v>5.064844770469338</v>
      </c>
      <c r="N11" s="69">
        <f t="shared" si="14"/>
        <v>4.9310919223682754</v>
      </c>
      <c r="R11">
        <f>R3</f>
        <v>12</v>
      </c>
      <c r="S11">
        <f>U3</f>
        <v>59.650000000000006</v>
      </c>
      <c r="T11">
        <f>T3</f>
        <v>-1.98</v>
      </c>
    </row>
    <row r="12" spans="1:21" x14ac:dyDescent="0.3">
      <c r="A12" t="s">
        <v>13</v>
      </c>
      <c r="B12">
        <f>B11-B3</f>
        <v>0</v>
      </c>
      <c r="C12">
        <f t="shared" ref="C12:N12" si="15">C11-C3</f>
        <v>0.31857130578883153</v>
      </c>
      <c r="D12">
        <f t="shared" si="15"/>
        <v>0.26271943727825953</v>
      </c>
      <c r="E12">
        <f t="shared" si="15"/>
        <v>2.0604891867947117E-2</v>
      </c>
      <c r="F12">
        <f t="shared" si="15"/>
        <v>-0.16377679351971075</v>
      </c>
      <c r="G12">
        <f t="shared" si="15"/>
        <v>-0.1676608607810488</v>
      </c>
      <c r="H12">
        <f t="shared" si="15"/>
        <v>-9.3447628726287313E-2</v>
      </c>
      <c r="I12">
        <f t="shared" si="15"/>
        <v>-9.96755736392263E-3</v>
      </c>
      <c r="J12">
        <f t="shared" si="15"/>
        <v>1.1893118027050953E-2</v>
      </c>
      <c r="K12">
        <f t="shared" si="15"/>
        <v>-1.2236003789669603E-2</v>
      </c>
      <c r="L12">
        <f t="shared" si="15"/>
        <v>-4.2636601619059356E-2</v>
      </c>
      <c r="M12">
        <f t="shared" si="15"/>
        <v>-7.5155229530661671E-2</v>
      </c>
      <c r="N12">
        <f t="shared" si="15"/>
        <v>-4.8908077631725E-2</v>
      </c>
      <c r="O12" t="s">
        <v>14</v>
      </c>
      <c r="P12">
        <f>SUMPRODUCT(C12:N12,C12:N12)</f>
        <v>0.24484790943871151</v>
      </c>
      <c r="R12">
        <f t="shared" ref="R12:R13" si="16">R4</f>
        <v>3.0000000000000009</v>
      </c>
      <c r="S12">
        <f t="shared" ref="S12:S13" si="17">U4</f>
        <v>2.2401000000000022</v>
      </c>
      <c r="T12">
        <f t="shared" ref="T12:T13" si="18">T4</f>
        <v>3.2051000000000012</v>
      </c>
    </row>
    <row r="13" spans="1:21" x14ac:dyDescent="0.3">
      <c r="B13">
        <f>B11-$P$13</f>
        <v>-0.15647616733506464</v>
      </c>
      <c r="C13">
        <f>C11-$P$13</f>
        <v>2.0620951384537669</v>
      </c>
      <c r="D13">
        <f t="shared" ref="D13:N13" si="19">D11-$P$13</f>
        <v>5.2162432699431953</v>
      </c>
      <c r="E13">
        <f t="shared" si="19"/>
        <v>6.6741287245328822</v>
      </c>
      <c r="F13">
        <f t="shared" si="19"/>
        <v>6.1697470391452249</v>
      </c>
      <c r="G13">
        <f t="shared" si="19"/>
        <v>4.9558629718838869</v>
      </c>
      <c r="H13">
        <f t="shared" si="19"/>
        <v>4.1600762039386483</v>
      </c>
      <c r="I13">
        <f t="shared" si="19"/>
        <v>4.1735562753010127</v>
      </c>
      <c r="J13">
        <f t="shared" si="19"/>
        <v>4.6154169506919862</v>
      </c>
      <c r="K13">
        <f t="shared" si="19"/>
        <v>4.991287828875266</v>
      </c>
      <c r="L13">
        <f t="shared" si="19"/>
        <v>5.0708872310458757</v>
      </c>
      <c r="M13">
        <f t="shared" si="19"/>
        <v>4.9083686031342735</v>
      </c>
      <c r="N13">
        <f t="shared" si="19"/>
        <v>4.7746157550332109</v>
      </c>
      <c r="O13" t="s">
        <v>158</v>
      </c>
      <c r="P13">
        <f>SQRT(P12/(P2-3+1))</f>
        <v>0.15647616733506464</v>
      </c>
      <c r="R13">
        <f t="shared" si="16"/>
        <v>-1.98</v>
      </c>
      <c r="S13">
        <f t="shared" si="17"/>
        <v>-19.921800000000005</v>
      </c>
      <c r="T13">
        <f t="shared" si="18"/>
        <v>10.013800000000002</v>
      </c>
    </row>
    <row r="14" spans="1:21" x14ac:dyDescent="0.3">
      <c r="B14">
        <f>B11+$P$13</f>
        <v>0.15647616733506464</v>
      </c>
      <c r="C14">
        <f>C11+$P$13</f>
        <v>2.375047473123896</v>
      </c>
      <c r="D14">
        <f t="shared" ref="D14:N14" si="20">D11+$P$13</f>
        <v>5.5291956046133244</v>
      </c>
      <c r="E14">
        <f t="shared" si="20"/>
        <v>6.9870810592030113</v>
      </c>
      <c r="F14">
        <f t="shared" si="20"/>
        <v>6.482699373815354</v>
      </c>
      <c r="G14">
        <f t="shared" si="20"/>
        <v>5.268815306554016</v>
      </c>
      <c r="H14">
        <f t="shared" si="20"/>
        <v>4.4730285386087774</v>
      </c>
      <c r="I14">
        <f t="shared" si="20"/>
        <v>4.4865086099711418</v>
      </c>
      <c r="J14">
        <f t="shared" si="20"/>
        <v>4.9283692853621153</v>
      </c>
      <c r="K14">
        <f t="shared" si="20"/>
        <v>5.3042401635453951</v>
      </c>
      <c r="L14">
        <f t="shared" si="20"/>
        <v>5.3838395657160047</v>
      </c>
      <c r="M14">
        <f t="shared" si="20"/>
        <v>5.2213209378044025</v>
      </c>
      <c r="N14">
        <f t="shared" si="20"/>
        <v>5.08756808970334</v>
      </c>
    </row>
    <row r="15" spans="1:21" ht="25.8" x14ac:dyDescent="0.5">
      <c r="B15">
        <f>IF(AND(B3&lt;=B14,B3&gt;=B13),1,0)</f>
        <v>1</v>
      </c>
      <c r="C15">
        <f t="shared" ref="C15:N15" si="21">IF(AND(C3&lt;=C14,C3&gt;=C13),1,0)</f>
        <v>0</v>
      </c>
      <c r="D15">
        <f t="shared" si="21"/>
        <v>0</v>
      </c>
      <c r="E15">
        <f t="shared" si="21"/>
        <v>1</v>
      </c>
      <c r="F15">
        <f t="shared" si="21"/>
        <v>0</v>
      </c>
      <c r="G15">
        <f t="shared" si="21"/>
        <v>0</v>
      </c>
      <c r="H15">
        <f t="shared" si="21"/>
        <v>1</v>
      </c>
      <c r="I15">
        <f t="shared" si="21"/>
        <v>1</v>
      </c>
      <c r="J15">
        <f t="shared" si="21"/>
        <v>1</v>
      </c>
      <c r="K15">
        <f t="shared" si="21"/>
        <v>1</v>
      </c>
      <c r="L15">
        <f t="shared" si="21"/>
        <v>1</v>
      </c>
      <c r="M15">
        <f t="shared" si="21"/>
        <v>1</v>
      </c>
      <c r="N15">
        <f t="shared" si="21"/>
        <v>1</v>
      </c>
      <c r="P15" s="84" t="str">
        <f>ROUND(SUM(B15:N15)/O1*100,2)&amp;"%"</f>
        <v>69,23%</v>
      </c>
      <c r="R15">
        <f>R3</f>
        <v>12</v>
      </c>
      <c r="S15">
        <f>S3</f>
        <v>3.0000000000000009</v>
      </c>
      <c r="T15">
        <f>U3</f>
        <v>59.650000000000006</v>
      </c>
    </row>
    <row r="16" spans="1:21" x14ac:dyDescent="0.3">
      <c r="R16">
        <f t="shared" ref="R16:S16" si="22">R4</f>
        <v>3.0000000000000009</v>
      </c>
      <c r="S16">
        <f t="shared" si="22"/>
        <v>19.529799999999998</v>
      </c>
      <c r="T16">
        <f t="shared" ref="T16:T17" si="23">U4</f>
        <v>2.2401000000000022</v>
      </c>
    </row>
    <row r="17" spans="1:20" x14ac:dyDescent="0.3">
      <c r="A17" t="s">
        <v>5</v>
      </c>
      <c r="B17">
        <f>MDETERM($R$7:$T$9)/MDETERM($R$3:$T$5)</f>
        <v>4.958168645333501</v>
      </c>
      <c r="R17">
        <f t="shared" ref="R17:S17" si="24">R5</f>
        <v>-1.98</v>
      </c>
      <c r="S17">
        <f t="shared" si="24"/>
        <v>3.2051000000000012</v>
      </c>
      <c r="T17">
        <f t="shared" si="23"/>
        <v>-19.921800000000005</v>
      </c>
    </row>
    <row r="18" spans="1:20" x14ac:dyDescent="0.3">
      <c r="A18" t="s">
        <v>6</v>
      </c>
      <c r="B18">
        <f>MDETERM($R$11:$T$13)/MDETERM($R$3:$T$5)</f>
        <v>-0.50801238959935791</v>
      </c>
    </row>
    <row r="19" spans="1:20" x14ac:dyDescent="0.3">
      <c r="A19" t="s">
        <v>12</v>
      </c>
      <c r="B19">
        <f>MDETERM($R$15:$T$17)/MDETERM($R$3:$T$5)</f>
        <v>-0.84647142666467967</v>
      </c>
      <c r="P19" t="s">
        <v>159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3D7A-49D6-4F88-908B-40BC5ADE1C79}">
  <dimension ref="A1:BK27"/>
  <sheetViews>
    <sheetView topLeftCell="B1" workbookViewId="0">
      <selection sqref="A1:XFD1048576"/>
    </sheetView>
  </sheetViews>
  <sheetFormatPr defaultRowHeight="14.4" x14ac:dyDescent="0.3"/>
  <sheetData>
    <row r="1" spans="1:63" s="68" customFormat="1" x14ac:dyDescent="0.3">
      <c r="A1" s="68" t="s">
        <v>215</v>
      </c>
      <c r="B1" s="68">
        <v>1</v>
      </c>
      <c r="C1" s="68">
        <v>0</v>
      </c>
      <c r="D1" s="68">
        <v>1</v>
      </c>
      <c r="E1" s="68">
        <v>0</v>
      </c>
      <c r="F1" s="68">
        <v>0</v>
      </c>
      <c r="G1" s="68">
        <v>1</v>
      </c>
      <c r="H1" s="68">
        <v>1</v>
      </c>
      <c r="I1" s="68">
        <v>0</v>
      </c>
      <c r="J1" s="68">
        <v>1</v>
      </c>
      <c r="K1" s="68">
        <v>0</v>
      </c>
      <c r="L1" s="68">
        <v>0</v>
      </c>
      <c r="M1" s="68">
        <v>0</v>
      </c>
      <c r="N1" s="68">
        <v>1</v>
      </c>
      <c r="O1" s="68">
        <v>1</v>
      </c>
      <c r="P1" s="68">
        <v>0</v>
      </c>
      <c r="Q1" s="68">
        <v>1</v>
      </c>
      <c r="R1" s="68">
        <v>0</v>
      </c>
      <c r="S1" s="68">
        <v>1</v>
      </c>
      <c r="T1" s="68">
        <v>1</v>
      </c>
      <c r="U1" s="68">
        <v>0</v>
      </c>
      <c r="V1" s="68">
        <v>1</v>
      </c>
      <c r="W1" s="68">
        <v>0</v>
      </c>
      <c r="X1" s="68">
        <v>1</v>
      </c>
      <c r="Y1" s="68">
        <v>1</v>
      </c>
      <c r="Z1" s="68">
        <v>0</v>
      </c>
      <c r="AA1" s="68">
        <v>0</v>
      </c>
      <c r="AB1" s="68">
        <v>0</v>
      </c>
      <c r="AC1" s="68">
        <v>1</v>
      </c>
      <c r="AD1" s="68">
        <v>0</v>
      </c>
      <c r="AE1" s="68">
        <v>1</v>
      </c>
      <c r="AF1" s="68">
        <v>0</v>
      </c>
      <c r="AG1" s="68">
        <v>1</v>
      </c>
      <c r="AH1" s="68">
        <v>0</v>
      </c>
      <c r="AI1" s="68">
        <v>0</v>
      </c>
      <c r="AJ1" s="68">
        <v>0</v>
      </c>
      <c r="AK1" s="68">
        <v>1</v>
      </c>
      <c r="AL1" s="68">
        <v>0</v>
      </c>
      <c r="AM1" s="68">
        <v>1</v>
      </c>
      <c r="AN1" s="68">
        <v>1</v>
      </c>
      <c r="AO1" s="68">
        <v>0</v>
      </c>
      <c r="AP1" s="68">
        <v>1</v>
      </c>
      <c r="AQ1" s="68">
        <v>0</v>
      </c>
      <c r="AR1" s="68">
        <v>1</v>
      </c>
      <c r="AS1" s="68">
        <v>0</v>
      </c>
      <c r="AT1" s="68">
        <v>1</v>
      </c>
      <c r="AU1" s="68">
        <v>1</v>
      </c>
      <c r="AV1" s="68">
        <v>0</v>
      </c>
      <c r="AW1" s="68">
        <v>1</v>
      </c>
      <c r="AX1" s="68">
        <v>0</v>
      </c>
      <c r="AY1" s="68">
        <v>1</v>
      </c>
      <c r="AZ1" s="68">
        <v>0</v>
      </c>
      <c r="BA1" s="68">
        <v>1</v>
      </c>
      <c r="BB1" s="68">
        <v>1</v>
      </c>
      <c r="BC1" s="68">
        <v>1</v>
      </c>
      <c r="BD1" s="68">
        <v>1</v>
      </c>
      <c r="BE1" s="68">
        <v>0</v>
      </c>
      <c r="BF1" s="68">
        <v>0</v>
      </c>
      <c r="BG1" s="68">
        <v>1</v>
      </c>
      <c r="BH1" s="68">
        <v>0</v>
      </c>
      <c r="BI1" s="68">
        <v>1</v>
      </c>
      <c r="BJ1" s="68">
        <v>0</v>
      </c>
      <c r="BK1" s="68">
        <v>0</v>
      </c>
    </row>
    <row r="2" spans="1:63" s="68" customFormat="1" x14ac:dyDescent="0.3">
      <c r="A2" s="68" t="s">
        <v>216</v>
      </c>
      <c r="B2" s="68">
        <f>SUM($B$1:B1)</f>
        <v>1</v>
      </c>
      <c r="C2" s="68">
        <f>SUM($B$1:C1)</f>
        <v>1</v>
      </c>
      <c r="D2" s="68">
        <f>SUM($B$1:D1)</f>
        <v>2</v>
      </c>
      <c r="E2" s="68">
        <f>SUM($B$1:E1)</f>
        <v>2</v>
      </c>
      <c r="F2" s="68">
        <f>SUM($B$1:F1)</f>
        <v>2</v>
      </c>
      <c r="G2" s="68">
        <f>SUM($B$1:G1)</f>
        <v>3</v>
      </c>
      <c r="H2" s="68">
        <f>SUM($B$1:H1)</f>
        <v>4</v>
      </c>
      <c r="I2" s="68">
        <f>SUM($B$1:I1)</f>
        <v>4</v>
      </c>
      <c r="J2" s="68">
        <f>SUM($B$1:J1)</f>
        <v>5</v>
      </c>
      <c r="K2" s="68">
        <f>SUM($B$1:K1)</f>
        <v>5</v>
      </c>
      <c r="L2" s="68">
        <f>SUM($B$1:L1)</f>
        <v>5</v>
      </c>
      <c r="M2" s="68">
        <f>SUM($B$1:M1)</f>
        <v>5</v>
      </c>
      <c r="N2" s="68">
        <f>SUM($B$1:N1)</f>
        <v>6</v>
      </c>
      <c r="O2" s="68">
        <f>SUM($B$1:O1)</f>
        <v>7</v>
      </c>
      <c r="P2" s="68">
        <f>SUM($B$1:P1)</f>
        <v>7</v>
      </c>
      <c r="Q2" s="68">
        <f>SUM($B$1:Q1)</f>
        <v>8</v>
      </c>
      <c r="R2" s="68">
        <f>SUM($B$1:R1)</f>
        <v>8</v>
      </c>
      <c r="S2" s="68">
        <f>SUM($B$1:S1)</f>
        <v>9</v>
      </c>
      <c r="T2" s="68">
        <f>SUM($B$1:T1)</f>
        <v>10</v>
      </c>
      <c r="U2" s="68">
        <f>SUM($B$1:U1)</f>
        <v>10</v>
      </c>
      <c r="V2" s="68">
        <f>SUM($B$1:V1)</f>
        <v>11</v>
      </c>
      <c r="W2" s="68">
        <f>SUM($B$1:W1)</f>
        <v>11</v>
      </c>
      <c r="X2" s="68">
        <f>SUM($B$1:X1)</f>
        <v>12</v>
      </c>
      <c r="Y2" s="68">
        <f>SUM($B$1:Y1)</f>
        <v>13</v>
      </c>
      <c r="Z2" s="68">
        <f>SUM($B$1:Z1)</f>
        <v>13</v>
      </c>
      <c r="AA2" s="68">
        <f>SUM($B$1:AA1)</f>
        <v>13</v>
      </c>
      <c r="AB2" s="68">
        <f>SUM($B$1:AB1)</f>
        <v>13</v>
      </c>
      <c r="AC2" s="68">
        <f>SUM($B$1:AC1)</f>
        <v>14</v>
      </c>
      <c r="AD2" s="68">
        <f>SUM($B$1:AD1)</f>
        <v>14</v>
      </c>
      <c r="AE2" s="68">
        <f>SUM($B$1:AE1)</f>
        <v>15</v>
      </c>
      <c r="AF2" s="68">
        <f>SUM($B$1:AF1)</f>
        <v>15</v>
      </c>
      <c r="AG2" s="68">
        <f>SUM($B$1:AG1)</f>
        <v>16</v>
      </c>
      <c r="AH2" s="68">
        <f>SUM($B$1:AH1)</f>
        <v>16</v>
      </c>
      <c r="AI2" s="68">
        <f>SUM($B$1:AI1)</f>
        <v>16</v>
      </c>
      <c r="AJ2" s="68">
        <f>SUM($B$1:AJ1)</f>
        <v>16</v>
      </c>
      <c r="AK2" s="68">
        <f>SUM($B$1:AK1)</f>
        <v>17</v>
      </c>
      <c r="AL2" s="68">
        <f>SUM($B$1:AL1)</f>
        <v>17</v>
      </c>
      <c r="AM2" s="68">
        <f>SUM($B$1:AM1)</f>
        <v>18</v>
      </c>
      <c r="AN2" s="68">
        <f>SUM($B$1:AN1)</f>
        <v>19</v>
      </c>
      <c r="AO2" s="68">
        <f>SUM($B$1:AO1)</f>
        <v>19</v>
      </c>
      <c r="AP2" s="68">
        <f>SUM($B$1:AP1)</f>
        <v>20</v>
      </c>
      <c r="AQ2" s="68">
        <f>SUM($B$1:AQ1)</f>
        <v>20</v>
      </c>
      <c r="AR2" s="68">
        <f>SUM($B$1:AR1)</f>
        <v>21</v>
      </c>
      <c r="AS2" s="68">
        <f>SUM($B$1:AS1)</f>
        <v>21</v>
      </c>
      <c r="AT2" s="68">
        <f>SUM($B$1:AT1)</f>
        <v>22</v>
      </c>
      <c r="AU2" s="68">
        <f>SUM($B$1:AU1)</f>
        <v>23</v>
      </c>
      <c r="AV2" s="68">
        <f>SUM($B$1:AV1)</f>
        <v>23</v>
      </c>
      <c r="AW2" s="68">
        <f>SUM($B$1:AW1)</f>
        <v>24</v>
      </c>
      <c r="AX2" s="68">
        <f>SUM($B$1:AX1)</f>
        <v>24</v>
      </c>
      <c r="AY2" s="68">
        <f>SUM($B$1:AY1)</f>
        <v>25</v>
      </c>
      <c r="AZ2" s="68">
        <f>SUM($B$1:AZ1)</f>
        <v>25</v>
      </c>
      <c r="BA2" s="68">
        <f>SUM($B$1:BA1)</f>
        <v>26</v>
      </c>
      <c r="BB2" s="68">
        <f>SUM($B$1:BB1)</f>
        <v>27</v>
      </c>
      <c r="BC2" s="68">
        <f>SUM($B$1:BC1)</f>
        <v>28</v>
      </c>
      <c r="BD2" s="68">
        <f>SUM($B$1:BD1)</f>
        <v>29</v>
      </c>
      <c r="BE2" s="68">
        <f>SUM($B$1:BE1)</f>
        <v>29</v>
      </c>
      <c r="BF2" s="68">
        <f>SUM($B$1:BF1)</f>
        <v>29</v>
      </c>
      <c r="BG2" s="68">
        <f>SUM($B$1:BG1)</f>
        <v>30</v>
      </c>
      <c r="BH2" s="68">
        <f>SUM($B$1:BH1)</f>
        <v>30</v>
      </c>
      <c r="BI2" s="68">
        <f>SUM($B$1:BI1)</f>
        <v>31</v>
      </c>
      <c r="BJ2" s="68">
        <f>SUM($B$1:BJ1)</f>
        <v>31</v>
      </c>
      <c r="BK2" s="68">
        <f>SUM($B$1:BK1)</f>
        <v>31</v>
      </c>
    </row>
    <row r="3" spans="1:63" s="68" customFormat="1" x14ac:dyDescent="0.3">
      <c r="A3" s="68" t="s">
        <v>23</v>
      </c>
      <c r="B3" s="68">
        <f>1</f>
        <v>1</v>
      </c>
      <c r="C3" s="68">
        <f>B3+1</f>
        <v>2</v>
      </c>
      <c r="D3" s="68">
        <f t="shared" ref="D3:W3" si="0">C3+1</f>
        <v>3</v>
      </c>
      <c r="E3" s="68">
        <f t="shared" si="0"/>
        <v>4</v>
      </c>
      <c r="F3" s="68">
        <f t="shared" si="0"/>
        <v>5</v>
      </c>
      <c r="G3" s="68">
        <f t="shared" si="0"/>
        <v>6</v>
      </c>
      <c r="H3" s="68">
        <f t="shared" si="0"/>
        <v>7</v>
      </c>
      <c r="I3" s="68">
        <f t="shared" si="0"/>
        <v>8</v>
      </c>
      <c r="J3" s="68">
        <f t="shared" si="0"/>
        <v>9</v>
      </c>
      <c r="K3" s="68">
        <f t="shared" si="0"/>
        <v>10</v>
      </c>
      <c r="L3" s="68">
        <f t="shared" si="0"/>
        <v>11</v>
      </c>
      <c r="M3" s="68">
        <f t="shared" si="0"/>
        <v>12</v>
      </c>
      <c r="N3" s="68">
        <f t="shared" si="0"/>
        <v>13</v>
      </c>
      <c r="O3" s="68">
        <f t="shared" si="0"/>
        <v>14</v>
      </c>
      <c r="P3" s="68">
        <f t="shared" si="0"/>
        <v>15</v>
      </c>
      <c r="Q3" s="68">
        <f t="shared" si="0"/>
        <v>16</v>
      </c>
      <c r="R3" s="68">
        <f t="shared" si="0"/>
        <v>17</v>
      </c>
      <c r="S3" s="68">
        <f t="shared" si="0"/>
        <v>18</v>
      </c>
      <c r="T3" s="68">
        <f t="shared" si="0"/>
        <v>19</v>
      </c>
      <c r="U3" s="68">
        <f t="shared" si="0"/>
        <v>20</v>
      </c>
      <c r="V3" s="68">
        <f t="shared" si="0"/>
        <v>21</v>
      </c>
      <c r="W3" s="68">
        <f t="shared" si="0"/>
        <v>22</v>
      </c>
      <c r="X3" s="68">
        <f t="shared" ref="X3:BG3" si="1">W3+1</f>
        <v>23</v>
      </c>
      <c r="Y3" s="68">
        <f t="shared" si="1"/>
        <v>24</v>
      </c>
      <c r="Z3" s="68">
        <f t="shared" si="1"/>
        <v>25</v>
      </c>
      <c r="AA3" s="68">
        <f t="shared" si="1"/>
        <v>26</v>
      </c>
      <c r="AB3" s="68">
        <f t="shared" si="1"/>
        <v>27</v>
      </c>
      <c r="AC3" s="68">
        <f t="shared" si="1"/>
        <v>28</v>
      </c>
      <c r="AD3" s="68">
        <f t="shared" si="1"/>
        <v>29</v>
      </c>
      <c r="AE3" s="68">
        <f t="shared" si="1"/>
        <v>30</v>
      </c>
      <c r="AF3" s="68">
        <f t="shared" si="1"/>
        <v>31</v>
      </c>
      <c r="AG3" s="68">
        <f t="shared" si="1"/>
        <v>32</v>
      </c>
      <c r="AH3" s="68">
        <f t="shared" si="1"/>
        <v>33</v>
      </c>
      <c r="AI3" s="68">
        <f t="shared" si="1"/>
        <v>34</v>
      </c>
      <c r="AJ3" s="68">
        <f t="shared" si="1"/>
        <v>35</v>
      </c>
      <c r="AK3" s="68">
        <f t="shared" si="1"/>
        <v>36</v>
      </c>
      <c r="AL3" s="68">
        <f t="shared" si="1"/>
        <v>37</v>
      </c>
      <c r="AM3" s="68">
        <f t="shared" si="1"/>
        <v>38</v>
      </c>
      <c r="AN3" s="68">
        <f t="shared" si="1"/>
        <v>39</v>
      </c>
      <c r="AO3" s="68">
        <f t="shared" si="1"/>
        <v>40</v>
      </c>
      <c r="AP3" s="68">
        <f t="shared" si="1"/>
        <v>41</v>
      </c>
      <c r="AQ3" s="68">
        <f t="shared" si="1"/>
        <v>42</v>
      </c>
      <c r="AR3" s="68">
        <f t="shared" si="1"/>
        <v>43</v>
      </c>
      <c r="AS3" s="68">
        <f t="shared" si="1"/>
        <v>44</v>
      </c>
      <c r="AT3" s="68">
        <f t="shared" si="1"/>
        <v>45</v>
      </c>
      <c r="AU3" s="68">
        <f t="shared" si="1"/>
        <v>46</v>
      </c>
      <c r="AV3" s="68">
        <f t="shared" si="1"/>
        <v>47</v>
      </c>
      <c r="AW3" s="68">
        <f t="shared" si="1"/>
        <v>48</v>
      </c>
      <c r="AX3" s="68">
        <f t="shared" si="1"/>
        <v>49</v>
      </c>
      <c r="AY3" s="68">
        <f t="shared" si="1"/>
        <v>50</v>
      </c>
      <c r="AZ3" s="68">
        <f t="shared" si="1"/>
        <v>51</v>
      </c>
      <c r="BA3" s="68">
        <f t="shared" si="1"/>
        <v>52</v>
      </c>
      <c r="BB3" s="68">
        <f t="shared" si="1"/>
        <v>53</v>
      </c>
      <c r="BC3" s="68">
        <f t="shared" si="1"/>
        <v>54</v>
      </c>
      <c r="BD3" s="68">
        <f t="shared" si="1"/>
        <v>55</v>
      </c>
      <c r="BE3" s="68">
        <f t="shared" si="1"/>
        <v>56</v>
      </c>
      <c r="BF3" s="68">
        <f t="shared" si="1"/>
        <v>57</v>
      </c>
      <c r="BG3" s="68">
        <f t="shared" si="1"/>
        <v>58</v>
      </c>
      <c r="BH3" s="68">
        <f t="shared" ref="BH3:BK3" si="2">BG3+1</f>
        <v>59</v>
      </c>
      <c r="BI3" s="68">
        <f t="shared" si="2"/>
        <v>60</v>
      </c>
      <c r="BJ3" s="68">
        <f t="shared" si="2"/>
        <v>61</v>
      </c>
      <c r="BK3" s="68">
        <f t="shared" si="2"/>
        <v>62</v>
      </c>
    </row>
    <row r="4" spans="1:63" s="68" customFormat="1" x14ac:dyDescent="0.3">
      <c r="A4" s="68" t="s">
        <v>217</v>
      </c>
      <c r="B4" s="68">
        <f>B2/B3</f>
        <v>1</v>
      </c>
      <c r="C4" s="68">
        <f>C2/C3</f>
        <v>0.5</v>
      </c>
      <c r="D4" s="68">
        <f t="shared" ref="D4:W4" si="3">D2/D3</f>
        <v>0.66666666666666663</v>
      </c>
      <c r="E4" s="68">
        <f t="shared" si="3"/>
        <v>0.5</v>
      </c>
      <c r="F4" s="68">
        <f t="shared" si="3"/>
        <v>0.4</v>
      </c>
      <c r="G4" s="68">
        <f t="shared" si="3"/>
        <v>0.5</v>
      </c>
      <c r="H4" s="68">
        <f t="shared" si="3"/>
        <v>0.5714285714285714</v>
      </c>
      <c r="I4" s="68">
        <f t="shared" si="3"/>
        <v>0.5</v>
      </c>
      <c r="J4" s="68">
        <f t="shared" si="3"/>
        <v>0.55555555555555558</v>
      </c>
      <c r="K4" s="68">
        <f t="shared" si="3"/>
        <v>0.5</v>
      </c>
      <c r="L4" s="68">
        <f t="shared" si="3"/>
        <v>0.45454545454545453</v>
      </c>
      <c r="M4" s="68">
        <f t="shared" si="3"/>
        <v>0.41666666666666669</v>
      </c>
      <c r="N4" s="68">
        <f t="shared" si="3"/>
        <v>0.46153846153846156</v>
      </c>
      <c r="O4" s="68">
        <f t="shared" si="3"/>
        <v>0.5</v>
      </c>
      <c r="P4" s="68">
        <f t="shared" si="3"/>
        <v>0.46666666666666667</v>
      </c>
      <c r="Q4" s="68">
        <f t="shared" si="3"/>
        <v>0.5</v>
      </c>
      <c r="R4" s="68">
        <f t="shared" si="3"/>
        <v>0.47058823529411764</v>
      </c>
      <c r="S4" s="68">
        <f t="shared" si="3"/>
        <v>0.5</v>
      </c>
      <c r="T4" s="68">
        <f t="shared" si="3"/>
        <v>0.52631578947368418</v>
      </c>
      <c r="U4" s="68">
        <f t="shared" si="3"/>
        <v>0.5</v>
      </c>
      <c r="V4" s="68">
        <f t="shared" si="3"/>
        <v>0.52380952380952384</v>
      </c>
      <c r="W4" s="68">
        <f t="shared" si="3"/>
        <v>0.5</v>
      </c>
      <c r="X4" s="68">
        <f t="shared" ref="X4" si="4">X2/X3</f>
        <v>0.52173913043478259</v>
      </c>
      <c r="Y4" s="68">
        <f t="shared" ref="Y4" si="5">Y2/Y3</f>
        <v>0.54166666666666663</v>
      </c>
      <c r="Z4" s="68">
        <f t="shared" ref="Z4" si="6">Z2/Z3</f>
        <v>0.52</v>
      </c>
      <c r="AA4" s="68">
        <f t="shared" ref="AA4" si="7">AA2/AA3</f>
        <v>0.5</v>
      </c>
      <c r="AB4" s="68">
        <f t="shared" ref="AB4" si="8">AB2/AB3</f>
        <v>0.48148148148148145</v>
      </c>
      <c r="AC4" s="68">
        <f t="shared" ref="AC4" si="9">AC2/AC3</f>
        <v>0.5</v>
      </c>
      <c r="AD4" s="68">
        <f t="shared" ref="AD4" si="10">AD2/AD3</f>
        <v>0.48275862068965519</v>
      </c>
      <c r="AE4" s="68">
        <f t="shared" ref="AE4" si="11">AE2/AE3</f>
        <v>0.5</v>
      </c>
      <c r="AF4" s="68">
        <f t="shared" ref="AF4" si="12">AF2/AF3</f>
        <v>0.4838709677419355</v>
      </c>
      <c r="AG4" s="68">
        <f t="shared" ref="AG4" si="13">AG2/AG3</f>
        <v>0.5</v>
      </c>
      <c r="AH4" s="68">
        <f t="shared" ref="AH4" si="14">AH2/AH3</f>
        <v>0.48484848484848486</v>
      </c>
      <c r="AI4" s="68">
        <f t="shared" ref="AI4" si="15">AI2/AI3</f>
        <v>0.47058823529411764</v>
      </c>
      <c r="AJ4" s="68">
        <f t="shared" ref="AJ4" si="16">AJ2/AJ3</f>
        <v>0.45714285714285713</v>
      </c>
      <c r="AK4" s="68">
        <f t="shared" ref="AK4" si="17">AK2/AK3</f>
        <v>0.47222222222222221</v>
      </c>
      <c r="AL4" s="68">
        <f t="shared" ref="AL4" si="18">AL2/AL3</f>
        <v>0.45945945945945948</v>
      </c>
      <c r="AM4" s="68">
        <f t="shared" ref="AM4" si="19">AM2/AM3</f>
        <v>0.47368421052631576</v>
      </c>
      <c r="AN4" s="68">
        <f t="shared" ref="AN4" si="20">AN2/AN3</f>
        <v>0.48717948717948717</v>
      </c>
      <c r="AO4" s="68">
        <f t="shared" ref="AO4" si="21">AO2/AO3</f>
        <v>0.47499999999999998</v>
      </c>
      <c r="AP4" s="68">
        <f t="shared" ref="AP4" si="22">AP2/AP3</f>
        <v>0.48780487804878048</v>
      </c>
      <c r="AQ4" s="68">
        <f t="shared" ref="AQ4" si="23">AQ2/AQ3</f>
        <v>0.47619047619047616</v>
      </c>
      <c r="AR4" s="68">
        <f t="shared" ref="AR4" si="24">AR2/AR3</f>
        <v>0.48837209302325579</v>
      </c>
      <c r="AS4" s="68">
        <f t="shared" ref="AS4" si="25">AS2/AS3</f>
        <v>0.47727272727272729</v>
      </c>
      <c r="AT4" s="68">
        <f t="shared" ref="AT4" si="26">AT2/AT3</f>
        <v>0.48888888888888887</v>
      </c>
      <c r="AU4" s="68">
        <f t="shared" ref="AU4" si="27">AU2/AU3</f>
        <v>0.5</v>
      </c>
      <c r="AV4" s="68">
        <f t="shared" ref="AV4" si="28">AV2/AV3</f>
        <v>0.48936170212765956</v>
      </c>
      <c r="AW4" s="68">
        <f t="shared" ref="AW4" si="29">AW2/AW3</f>
        <v>0.5</v>
      </c>
      <c r="AX4" s="68">
        <f t="shared" ref="AX4" si="30">AX2/AX3</f>
        <v>0.48979591836734693</v>
      </c>
      <c r="AY4" s="68">
        <f t="shared" ref="AY4" si="31">AY2/AY3</f>
        <v>0.5</v>
      </c>
      <c r="AZ4" s="68">
        <f t="shared" ref="AZ4" si="32">AZ2/AZ3</f>
        <v>0.49019607843137253</v>
      </c>
      <c r="BA4" s="68">
        <f t="shared" ref="BA4" si="33">BA2/BA3</f>
        <v>0.5</v>
      </c>
      <c r="BB4" s="68">
        <f t="shared" ref="BB4" si="34">BB2/BB3</f>
        <v>0.50943396226415094</v>
      </c>
      <c r="BC4" s="68">
        <f t="shared" ref="BC4" si="35">BC2/BC3</f>
        <v>0.51851851851851849</v>
      </c>
      <c r="BD4" s="68">
        <f t="shared" ref="BD4" si="36">BD2/BD3</f>
        <v>0.52727272727272723</v>
      </c>
      <c r="BE4" s="68">
        <f t="shared" ref="BE4" si="37">BE2/BE3</f>
        <v>0.5178571428571429</v>
      </c>
      <c r="BF4" s="68">
        <f t="shared" ref="BF4" si="38">BF2/BF3</f>
        <v>0.50877192982456143</v>
      </c>
      <c r="BG4" s="68">
        <f t="shared" ref="BG4" si="39">BG2/BG3</f>
        <v>0.51724137931034486</v>
      </c>
      <c r="BH4" s="68">
        <f t="shared" ref="BH4" si="40">BH2/BH3</f>
        <v>0.50847457627118642</v>
      </c>
      <c r="BI4" s="68">
        <f t="shared" ref="BI4" si="41">BI2/BI3</f>
        <v>0.51666666666666672</v>
      </c>
      <c r="BJ4" s="68">
        <f t="shared" ref="BJ4" si="42">BJ2/BJ3</f>
        <v>0.50819672131147542</v>
      </c>
      <c r="BK4" s="68">
        <f t="shared" ref="BK4" si="43">BK2/BK3</f>
        <v>0.5</v>
      </c>
    </row>
    <row r="5" spans="1:63" x14ac:dyDescent="0.3">
      <c r="B5">
        <f>0.45</f>
        <v>0.45</v>
      </c>
      <c r="C5">
        <f>0.45</f>
        <v>0.45</v>
      </c>
      <c r="D5">
        <f t="shared" ref="D5:BK5" si="44">0.45</f>
        <v>0.45</v>
      </c>
      <c r="E5">
        <f t="shared" si="44"/>
        <v>0.45</v>
      </c>
      <c r="F5">
        <f t="shared" si="44"/>
        <v>0.45</v>
      </c>
      <c r="G5">
        <f t="shared" si="44"/>
        <v>0.45</v>
      </c>
      <c r="H5">
        <f t="shared" si="44"/>
        <v>0.45</v>
      </c>
      <c r="I5">
        <f t="shared" si="44"/>
        <v>0.45</v>
      </c>
      <c r="J5">
        <f t="shared" si="44"/>
        <v>0.45</v>
      </c>
      <c r="K5">
        <f t="shared" si="44"/>
        <v>0.45</v>
      </c>
      <c r="L5">
        <f t="shared" si="44"/>
        <v>0.45</v>
      </c>
      <c r="M5">
        <f t="shared" si="44"/>
        <v>0.45</v>
      </c>
      <c r="N5">
        <f t="shared" si="44"/>
        <v>0.45</v>
      </c>
      <c r="O5">
        <f t="shared" si="44"/>
        <v>0.45</v>
      </c>
      <c r="P5">
        <f t="shared" si="44"/>
        <v>0.45</v>
      </c>
      <c r="Q5">
        <f t="shared" si="44"/>
        <v>0.45</v>
      </c>
      <c r="R5">
        <f t="shared" si="44"/>
        <v>0.45</v>
      </c>
      <c r="S5">
        <f t="shared" si="44"/>
        <v>0.45</v>
      </c>
      <c r="T5">
        <f t="shared" si="44"/>
        <v>0.45</v>
      </c>
      <c r="U5">
        <f t="shared" si="44"/>
        <v>0.45</v>
      </c>
      <c r="V5">
        <f t="shared" si="44"/>
        <v>0.45</v>
      </c>
      <c r="W5">
        <f t="shared" si="44"/>
        <v>0.45</v>
      </c>
      <c r="X5">
        <f t="shared" si="44"/>
        <v>0.45</v>
      </c>
      <c r="Y5">
        <f t="shared" si="44"/>
        <v>0.45</v>
      </c>
      <c r="Z5">
        <f t="shared" si="44"/>
        <v>0.45</v>
      </c>
      <c r="AA5">
        <f t="shared" si="44"/>
        <v>0.45</v>
      </c>
      <c r="AB5">
        <f t="shared" si="44"/>
        <v>0.45</v>
      </c>
      <c r="AC5">
        <f t="shared" si="44"/>
        <v>0.45</v>
      </c>
      <c r="AD5">
        <f t="shared" si="44"/>
        <v>0.45</v>
      </c>
      <c r="AE5">
        <f t="shared" si="44"/>
        <v>0.45</v>
      </c>
      <c r="AF5">
        <f t="shared" si="44"/>
        <v>0.45</v>
      </c>
      <c r="AG5">
        <f t="shared" si="44"/>
        <v>0.45</v>
      </c>
      <c r="AH5">
        <f t="shared" si="44"/>
        <v>0.45</v>
      </c>
      <c r="AI5">
        <f t="shared" si="44"/>
        <v>0.45</v>
      </c>
      <c r="AJ5">
        <f t="shared" si="44"/>
        <v>0.45</v>
      </c>
      <c r="AK5">
        <f t="shared" si="44"/>
        <v>0.45</v>
      </c>
      <c r="AL5">
        <f t="shared" si="44"/>
        <v>0.45</v>
      </c>
      <c r="AM5">
        <f t="shared" si="44"/>
        <v>0.45</v>
      </c>
      <c r="AN5">
        <f t="shared" si="44"/>
        <v>0.45</v>
      </c>
      <c r="AO5">
        <f t="shared" si="44"/>
        <v>0.45</v>
      </c>
      <c r="AP5">
        <f t="shared" si="44"/>
        <v>0.45</v>
      </c>
      <c r="AQ5">
        <f t="shared" si="44"/>
        <v>0.45</v>
      </c>
      <c r="AR5">
        <f t="shared" si="44"/>
        <v>0.45</v>
      </c>
      <c r="AS5">
        <f t="shared" si="44"/>
        <v>0.45</v>
      </c>
      <c r="AT5">
        <f t="shared" si="44"/>
        <v>0.45</v>
      </c>
      <c r="AU5">
        <f t="shared" si="44"/>
        <v>0.45</v>
      </c>
      <c r="AV5">
        <f t="shared" si="44"/>
        <v>0.45</v>
      </c>
      <c r="AW5">
        <f t="shared" si="44"/>
        <v>0.45</v>
      </c>
      <c r="AX5">
        <f t="shared" si="44"/>
        <v>0.45</v>
      </c>
      <c r="AY5">
        <f t="shared" si="44"/>
        <v>0.45</v>
      </c>
      <c r="AZ5">
        <f t="shared" si="44"/>
        <v>0.45</v>
      </c>
      <c r="BA5">
        <f t="shared" si="44"/>
        <v>0.45</v>
      </c>
      <c r="BB5">
        <f t="shared" si="44"/>
        <v>0.45</v>
      </c>
      <c r="BC5">
        <f t="shared" si="44"/>
        <v>0.45</v>
      </c>
      <c r="BD5">
        <f t="shared" si="44"/>
        <v>0.45</v>
      </c>
      <c r="BE5">
        <f t="shared" si="44"/>
        <v>0.45</v>
      </c>
      <c r="BF5">
        <f t="shared" si="44"/>
        <v>0.45</v>
      </c>
      <c r="BG5">
        <f t="shared" si="44"/>
        <v>0.45</v>
      </c>
      <c r="BH5">
        <f t="shared" si="44"/>
        <v>0.45</v>
      </c>
      <c r="BI5">
        <f t="shared" si="44"/>
        <v>0.45</v>
      </c>
      <c r="BJ5">
        <f t="shared" si="44"/>
        <v>0.45</v>
      </c>
      <c r="BK5">
        <f t="shared" si="44"/>
        <v>0.45</v>
      </c>
    </row>
    <row r="6" spans="1:63" x14ac:dyDescent="0.3">
      <c r="B6">
        <v>0.55000000000000004</v>
      </c>
      <c r="C6">
        <v>0.55000000000000004</v>
      </c>
      <c r="D6">
        <v>0.55000000000000004</v>
      </c>
      <c r="E6">
        <v>0.55000000000000004</v>
      </c>
      <c r="F6">
        <v>0.55000000000000004</v>
      </c>
      <c r="G6">
        <v>0.55000000000000004</v>
      </c>
      <c r="H6">
        <v>0.55000000000000004</v>
      </c>
      <c r="I6">
        <v>0.55000000000000004</v>
      </c>
      <c r="J6">
        <v>0.55000000000000004</v>
      </c>
      <c r="K6">
        <v>0.55000000000000004</v>
      </c>
      <c r="L6">
        <v>0.55000000000000004</v>
      </c>
      <c r="M6">
        <v>0.55000000000000004</v>
      </c>
      <c r="N6">
        <v>0.55000000000000004</v>
      </c>
      <c r="O6">
        <v>0.55000000000000004</v>
      </c>
      <c r="P6">
        <v>0.55000000000000004</v>
      </c>
      <c r="Q6">
        <v>0.55000000000000004</v>
      </c>
      <c r="R6">
        <v>0.55000000000000004</v>
      </c>
      <c r="S6">
        <v>0.55000000000000004</v>
      </c>
      <c r="T6">
        <v>0.55000000000000004</v>
      </c>
      <c r="U6">
        <v>0.55000000000000004</v>
      </c>
      <c r="V6">
        <v>0.55000000000000004</v>
      </c>
      <c r="W6">
        <v>0.55000000000000004</v>
      </c>
      <c r="X6">
        <v>0.55000000000000004</v>
      </c>
      <c r="Y6">
        <v>0.55000000000000004</v>
      </c>
      <c r="Z6">
        <v>0.55000000000000004</v>
      </c>
      <c r="AA6">
        <v>0.55000000000000004</v>
      </c>
      <c r="AB6">
        <v>0.55000000000000004</v>
      </c>
      <c r="AC6">
        <v>0.55000000000000004</v>
      </c>
      <c r="AD6">
        <v>0.55000000000000004</v>
      </c>
      <c r="AE6">
        <v>0.55000000000000004</v>
      </c>
      <c r="AF6">
        <v>0.55000000000000004</v>
      </c>
      <c r="AG6">
        <v>0.55000000000000004</v>
      </c>
      <c r="AH6">
        <v>0.55000000000000004</v>
      </c>
      <c r="AI6">
        <v>0.55000000000000004</v>
      </c>
      <c r="AJ6">
        <v>0.55000000000000004</v>
      </c>
      <c r="AK6">
        <v>0.55000000000000004</v>
      </c>
      <c r="AL6">
        <v>0.55000000000000004</v>
      </c>
      <c r="AM6">
        <v>0.55000000000000004</v>
      </c>
      <c r="AN6">
        <v>0.55000000000000004</v>
      </c>
      <c r="AO6">
        <v>0.55000000000000004</v>
      </c>
      <c r="AP6">
        <v>0.55000000000000004</v>
      </c>
      <c r="AQ6">
        <v>0.55000000000000004</v>
      </c>
      <c r="AR6">
        <v>0.55000000000000004</v>
      </c>
      <c r="AS6">
        <v>0.55000000000000004</v>
      </c>
      <c r="AT6">
        <v>0.55000000000000004</v>
      </c>
      <c r="AU6">
        <v>0.55000000000000004</v>
      </c>
      <c r="AV6">
        <v>0.55000000000000004</v>
      </c>
      <c r="AW6">
        <v>0.55000000000000004</v>
      </c>
      <c r="AX6">
        <v>0.55000000000000004</v>
      </c>
      <c r="AY6">
        <v>0.55000000000000004</v>
      </c>
      <c r="AZ6">
        <v>0.55000000000000004</v>
      </c>
      <c r="BA6">
        <v>0.55000000000000004</v>
      </c>
      <c r="BB6">
        <v>0.55000000000000004</v>
      </c>
      <c r="BC6">
        <v>0.55000000000000004</v>
      </c>
      <c r="BD6">
        <v>0.55000000000000004</v>
      </c>
      <c r="BE6">
        <v>0.55000000000000004</v>
      </c>
      <c r="BF6">
        <v>0.55000000000000004</v>
      </c>
      <c r="BG6">
        <v>0.55000000000000004</v>
      </c>
      <c r="BH6">
        <v>0.55000000000000004</v>
      </c>
      <c r="BI6">
        <v>0.55000000000000004</v>
      </c>
      <c r="BJ6">
        <v>0.55000000000000004</v>
      </c>
      <c r="BK6">
        <v>0.55000000000000004</v>
      </c>
    </row>
    <row r="7" spans="1:63" x14ac:dyDescent="0.3"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0.5</v>
      </c>
      <c r="BF7">
        <v>0.5</v>
      </c>
      <c r="BG7">
        <v>0.5</v>
      </c>
      <c r="BH7">
        <v>0.5</v>
      </c>
      <c r="BI7">
        <v>0.5</v>
      </c>
      <c r="BJ7">
        <v>0.5</v>
      </c>
      <c r="BK7">
        <v>0.5</v>
      </c>
    </row>
    <row r="8" spans="1:63" x14ac:dyDescent="0.3">
      <c r="B8" s="68">
        <f>SUM($B$9:B9)/B3</f>
        <v>0.6484375</v>
      </c>
      <c r="C8" s="68">
        <f>SUM($B$9:C9)/C3</f>
        <v>0.47265625</v>
      </c>
      <c r="D8" s="68">
        <f>SUM($B$9:D9)/D3</f>
        <v>0.515625</v>
      </c>
      <c r="E8" s="68">
        <f>SUM($B$9:E9)/E3</f>
        <v>0.4375</v>
      </c>
      <c r="F8" s="68">
        <f>SUM($B$9:F9)/F3</f>
        <v>0.43125000000000002</v>
      </c>
      <c r="G8" s="68">
        <f>SUM($B$9:G9)/G3</f>
        <v>0.49479166666666669</v>
      </c>
      <c r="H8" s="68">
        <f>SUM($B$9:H9)/H3</f>
        <v>0.5145089285714286</v>
      </c>
      <c r="I8" s="68">
        <f>SUM($B$9:I9)/I3</f>
        <v>0.484375</v>
      </c>
      <c r="J8" s="68">
        <f>SUM($B$9:J9)/J3</f>
        <v>0.49131944444444442</v>
      </c>
      <c r="K8" s="68">
        <f>SUM($B$9:K9)/K3</f>
        <v>0.45234374999999999</v>
      </c>
      <c r="L8" s="68">
        <f>SUM($B$9:L9)/L3</f>
        <v>0.4296875</v>
      </c>
      <c r="M8" s="68">
        <f>SUM($B$9:M9)/M3</f>
        <v>0.42838541666666669</v>
      </c>
      <c r="N8" s="68">
        <f>SUM($B$9:N9)/N3</f>
        <v>0.45973557692307693</v>
      </c>
      <c r="O8" s="68">
        <f>SUM($B$9:O9)/O3</f>
        <v>0.47488839285714285</v>
      </c>
      <c r="P8" s="68">
        <f>SUM($B$9:P9)/P3</f>
        <v>0.46666666666666667</v>
      </c>
      <c r="Q8" s="68">
        <f>SUM($B$9:Q9)/Q3</f>
        <v>0.4814453125</v>
      </c>
      <c r="R8" s="68">
        <f>SUM($B$9:R9)/R3</f>
        <v>0.47748161764705882</v>
      </c>
      <c r="S8" s="68">
        <f>SUM($B$9:S9)/S3</f>
        <v>0.49739583333333331</v>
      </c>
      <c r="T8" s="68">
        <f>SUM($B$9:T9)/T3</f>
        <v>0.50657894736842102</v>
      </c>
      <c r="U8" s="68">
        <f>SUM($B$9:U9)/U3</f>
        <v>0.49843749999999998</v>
      </c>
      <c r="V8" s="68">
        <f>SUM($B$9:V9)/V3</f>
        <v>0.50744047619047616</v>
      </c>
      <c r="W8" s="68">
        <f>SUM($B$9:W9)/W3</f>
        <v>0.50177556818181823</v>
      </c>
      <c r="X8" s="68">
        <f>SUM($B$9:X9)/X3</f>
        <v>0.51324728260869568</v>
      </c>
      <c r="Y8" s="68">
        <f>SUM($B$9:Y9)/Y3</f>
        <v>0.51432291666666663</v>
      </c>
      <c r="Z8" s="68">
        <f>SUM($B$9:Z9)/Z3</f>
        <v>0.49687500000000001</v>
      </c>
      <c r="AA8" s="68">
        <f>SUM($B$9:AA9)/AA3</f>
        <v>0.48407451923076922</v>
      </c>
      <c r="AB8" s="68">
        <f>SUM($B$9:AB9)/AB3</f>
        <v>0.4782986111111111</v>
      </c>
      <c r="AC8" s="68">
        <f>SUM($B$9:AC9)/AC3</f>
        <v>0.48465401785714285</v>
      </c>
      <c r="AD8" s="68">
        <f>SUM($B$9:AD9)/AD3</f>
        <v>0.47871767241379309</v>
      </c>
      <c r="AE8" s="68">
        <f>SUM($B$9:AE9)/AE3</f>
        <v>0.48385416666666664</v>
      </c>
      <c r="AF8" s="68">
        <f>SUM($B$9:AF9)/AF3</f>
        <v>0.47681451612903225</v>
      </c>
      <c r="AG8" s="68">
        <f>SUM($B$9:AG9)/AG3</f>
        <v>0.478759765625</v>
      </c>
      <c r="AH8" s="68">
        <f>SUM($B$9:AH9)/AH3</f>
        <v>0.46685606060606061</v>
      </c>
      <c r="AI8" s="68">
        <f>SUM($B$9:AI9)/AI3</f>
        <v>0.45818014705882354</v>
      </c>
      <c r="AJ8" s="68">
        <f>SUM($B$9:AJ9)/AJ3</f>
        <v>0.45513392857142859</v>
      </c>
      <c r="AK8" s="68">
        <f>SUM($B$9:AK9)/AK3</f>
        <v>0.46202256944444442</v>
      </c>
      <c r="AL8" s="68">
        <f>SUM($B$9:AL9)/AL3</f>
        <v>0.46072635135135137</v>
      </c>
      <c r="AM8" s="68">
        <f>SUM($B$9:AM9)/AM3</f>
        <v>0.47039473684210525</v>
      </c>
      <c r="AN8" s="68">
        <f>SUM($B$9:AN9)/AN3</f>
        <v>0.47536057692307693</v>
      </c>
      <c r="AO8" s="68">
        <f>SUM($B$9:AO9)/AO3</f>
        <v>0.47187499999999999</v>
      </c>
      <c r="AP8" s="68">
        <f>SUM($B$9:AP9)/AP3</f>
        <v>0.4767530487804878</v>
      </c>
      <c r="AQ8" s="68">
        <f>SUM($B$9:AQ9)/AQ3</f>
        <v>0.47377232142857145</v>
      </c>
      <c r="AR8" s="68">
        <f>SUM($B$9:AR9)/AR3</f>
        <v>0.47910610465116277</v>
      </c>
      <c r="AS8" s="68">
        <f>SUM($B$9:AS9)/AS3</f>
        <v>0.47762784090909088</v>
      </c>
      <c r="AT8" s="68">
        <f>SUM($B$9:AT9)/AT3</f>
        <v>0.48541666666666666</v>
      </c>
      <c r="AU8" s="68">
        <f>SUM($B$9:AU9)/AU3</f>
        <v>0.48930027173913043</v>
      </c>
      <c r="AV8" s="68">
        <f>SUM($B$9:AV9)/AV3</f>
        <v>0.48603723404255317</v>
      </c>
      <c r="AW8" s="68">
        <f>SUM($B$9:AW9)/AW3</f>
        <v>0.49007161458333331</v>
      </c>
      <c r="AX8" s="68">
        <f>SUM($B$9:AX9)/AX3</f>
        <v>0.48756377551020408</v>
      </c>
      <c r="AY8" s="68">
        <f>SUM($B$9:AY9)/AY3</f>
        <v>0.49249999999999999</v>
      </c>
      <c r="AZ8" s="68">
        <f>SUM($B$9:AZ9)/AZ3</f>
        <v>0.49203431372549017</v>
      </c>
      <c r="BA8" s="68">
        <f>SUM($B$9:BA9)/BA3</f>
        <v>0.50075120192307687</v>
      </c>
      <c r="BB8" s="68">
        <f>SUM($B$9:BB9)/BB3</f>
        <v>0.50810731132075471</v>
      </c>
      <c r="BC8" s="68">
        <f>SUM($B$9:BC9)/BC3</f>
        <v>0.51331018518518523</v>
      </c>
      <c r="BD8" s="68">
        <f>SUM($B$9:BD9)/BD3</f>
        <v>0.5144886363636364</v>
      </c>
      <c r="BE8" s="68">
        <f>SUM($B$9:BE9)/BE3</f>
        <v>0.5080915178571429</v>
      </c>
    </row>
    <row r="9" spans="1:63" x14ac:dyDescent="0.3">
      <c r="B9">
        <f t="shared" ref="B9:AG9" si="45">BIN2DEC(B1&amp;C1&amp;D1&amp;E1&amp;F1&amp;G1&amp;H1)/128</f>
        <v>0.6484375</v>
      </c>
      <c r="C9">
        <f t="shared" si="45"/>
        <v>0.296875</v>
      </c>
      <c r="D9">
        <f t="shared" si="45"/>
        <v>0.6015625</v>
      </c>
      <c r="E9">
        <f t="shared" si="45"/>
        <v>0.203125</v>
      </c>
      <c r="F9">
        <f t="shared" si="45"/>
        <v>0.40625</v>
      </c>
      <c r="G9">
        <f t="shared" si="45"/>
        <v>0.8125</v>
      </c>
      <c r="H9">
        <f t="shared" si="45"/>
        <v>0.6328125</v>
      </c>
      <c r="I9">
        <f t="shared" si="45"/>
        <v>0.2734375</v>
      </c>
      <c r="J9">
        <f t="shared" si="45"/>
        <v>0.546875</v>
      </c>
      <c r="K9">
        <f t="shared" si="45"/>
        <v>0.1015625</v>
      </c>
      <c r="L9">
        <f t="shared" si="45"/>
        <v>0.203125</v>
      </c>
      <c r="M9">
        <f t="shared" si="45"/>
        <v>0.4140625</v>
      </c>
      <c r="N9">
        <f t="shared" si="45"/>
        <v>0.8359375</v>
      </c>
      <c r="O9">
        <f t="shared" si="45"/>
        <v>0.671875</v>
      </c>
      <c r="P9">
        <f t="shared" si="45"/>
        <v>0.3515625</v>
      </c>
      <c r="Q9">
        <f t="shared" si="45"/>
        <v>0.703125</v>
      </c>
      <c r="R9">
        <f t="shared" si="45"/>
        <v>0.4140625</v>
      </c>
      <c r="S9">
        <f t="shared" si="45"/>
        <v>0.8359375</v>
      </c>
      <c r="T9">
        <f t="shared" si="45"/>
        <v>0.671875</v>
      </c>
      <c r="U9">
        <f t="shared" si="45"/>
        <v>0.34375</v>
      </c>
      <c r="V9">
        <f t="shared" si="45"/>
        <v>0.6875</v>
      </c>
      <c r="W9">
        <f t="shared" si="45"/>
        <v>0.3828125</v>
      </c>
      <c r="X9">
        <f t="shared" si="45"/>
        <v>0.765625</v>
      </c>
      <c r="Y9">
        <f t="shared" si="45"/>
        <v>0.5390625</v>
      </c>
      <c r="Z9">
        <f t="shared" si="45"/>
        <v>7.8125E-2</v>
      </c>
      <c r="AA9">
        <f t="shared" si="45"/>
        <v>0.1640625</v>
      </c>
      <c r="AB9">
        <f t="shared" si="45"/>
        <v>0.328125</v>
      </c>
      <c r="AC9">
        <f t="shared" si="45"/>
        <v>0.65625</v>
      </c>
      <c r="AD9">
        <f t="shared" si="45"/>
        <v>0.3125</v>
      </c>
      <c r="AE9">
        <f t="shared" si="45"/>
        <v>0.6328125</v>
      </c>
      <c r="AF9">
        <f t="shared" si="45"/>
        <v>0.265625</v>
      </c>
      <c r="AG9">
        <f t="shared" si="45"/>
        <v>0.5390625</v>
      </c>
      <c r="AH9">
        <f t="shared" ref="AH9:BE9" si="46">BIN2DEC(AH1&amp;AI1&amp;AJ1&amp;AK1&amp;AL1&amp;AM1&amp;AN1)/128</f>
        <v>8.59375E-2</v>
      </c>
      <c r="AI9">
        <f t="shared" si="46"/>
        <v>0.171875</v>
      </c>
      <c r="AJ9">
        <f t="shared" si="46"/>
        <v>0.3515625</v>
      </c>
      <c r="AK9">
        <f t="shared" si="46"/>
        <v>0.703125</v>
      </c>
      <c r="AL9">
        <f t="shared" si="46"/>
        <v>0.4140625</v>
      </c>
      <c r="AM9">
        <f t="shared" si="46"/>
        <v>0.828125</v>
      </c>
      <c r="AN9">
        <f t="shared" si="46"/>
        <v>0.6640625</v>
      </c>
      <c r="AO9">
        <f t="shared" si="46"/>
        <v>0.3359375</v>
      </c>
      <c r="AP9">
        <f t="shared" si="46"/>
        <v>0.671875</v>
      </c>
      <c r="AQ9">
        <f t="shared" si="46"/>
        <v>0.3515625</v>
      </c>
      <c r="AR9">
        <f t="shared" si="46"/>
        <v>0.703125</v>
      </c>
      <c r="AS9">
        <f t="shared" si="46"/>
        <v>0.4140625</v>
      </c>
      <c r="AT9">
        <f t="shared" si="46"/>
        <v>0.828125</v>
      </c>
      <c r="AU9">
        <f t="shared" si="46"/>
        <v>0.6640625</v>
      </c>
      <c r="AV9">
        <f t="shared" si="46"/>
        <v>0.3359375</v>
      </c>
      <c r="AW9">
        <f t="shared" si="46"/>
        <v>0.6796875</v>
      </c>
      <c r="AX9">
        <f t="shared" si="46"/>
        <v>0.3671875</v>
      </c>
      <c r="AY9">
        <f t="shared" si="46"/>
        <v>0.734375</v>
      </c>
      <c r="AZ9">
        <f t="shared" si="46"/>
        <v>0.46875</v>
      </c>
      <c r="BA9">
        <f t="shared" si="46"/>
        <v>0.9453125</v>
      </c>
      <c r="BB9">
        <f t="shared" si="46"/>
        <v>0.890625</v>
      </c>
      <c r="BC9">
        <f t="shared" si="46"/>
        <v>0.7890625</v>
      </c>
      <c r="BD9">
        <f t="shared" si="46"/>
        <v>0.578125</v>
      </c>
      <c r="BE9">
        <f t="shared" si="46"/>
        <v>0.15625</v>
      </c>
    </row>
    <row r="10" spans="1:63" x14ac:dyDescent="0.3">
      <c r="B10">
        <f>(B9-$A$12)^2</f>
        <v>1.9696994703643163E-2</v>
      </c>
      <c r="C10">
        <f t="shared" ref="C10:BE10" si="47">(C9-$A$12)^2</f>
        <v>4.461241741569677E-2</v>
      </c>
      <c r="D10">
        <f t="shared" si="47"/>
        <v>8.7368245027503108E-3</v>
      </c>
      <c r="E10">
        <f t="shared" si="47"/>
        <v>9.3004577013911058E-2</v>
      </c>
      <c r="F10">
        <f t="shared" si="47"/>
        <v>1.0371694759446758E-2</v>
      </c>
      <c r="G10">
        <f t="shared" si="47"/>
        <v>9.2664524000518153E-2</v>
      </c>
      <c r="H10">
        <f t="shared" si="47"/>
        <v>1.5555323386678879E-2</v>
      </c>
      <c r="I10">
        <f t="shared" si="47"/>
        <v>5.5062508096500339E-2</v>
      </c>
      <c r="J10">
        <f t="shared" si="47"/>
        <v>1.5041584871253151E-3</v>
      </c>
      <c r="K10">
        <f t="shared" si="47"/>
        <v>0.16526584235989322</v>
      </c>
      <c r="L10">
        <f t="shared" si="47"/>
        <v>9.3004577013911058E-2</v>
      </c>
      <c r="M10">
        <f t="shared" si="47"/>
        <v>8.8414561991789001E-3</v>
      </c>
      <c r="N10">
        <f t="shared" si="47"/>
        <v>0.10748298800721458</v>
      </c>
      <c r="O10">
        <f t="shared" si="47"/>
        <v>2.6825029022839588E-2</v>
      </c>
      <c r="P10">
        <f t="shared" si="47"/>
        <v>2.4501333431321763E-2</v>
      </c>
      <c r="Q10">
        <f t="shared" si="47"/>
        <v>3.803805915676816E-2</v>
      </c>
      <c r="R10">
        <f t="shared" si="47"/>
        <v>8.8414561991789001E-3</v>
      </c>
      <c r="S10">
        <f t="shared" si="47"/>
        <v>0.10748298800721458</v>
      </c>
      <c r="T10">
        <f t="shared" si="47"/>
        <v>2.6825029022839588E-2</v>
      </c>
      <c r="U10">
        <f t="shared" si="47"/>
        <v>2.7008134491589619E-2</v>
      </c>
      <c r="V10">
        <f t="shared" si="47"/>
        <v>3.2187403464803872E-2</v>
      </c>
      <c r="W10">
        <f t="shared" si="47"/>
        <v>1.5694832315250332E-2</v>
      </c>
      <c r="X10">
        <f t="shared" si="47"/>
        <v>6.632349442462529E-2</v>
      </c>
      <c r="Y10">
        <f t="shared" si="47"/>
        <v>9.5920173489317303E-4</v>
      </c>
      <c r="Z10">
        <f t="shared" si="47"/>
        <v>0.1848712064781968</v>
      </c>
      <c r="AA10">
        <f t="shared" si="47"/>
        <v>0.11835596512775035</v>
      </c>
      <c r="AB10">
        <f t="shared" si="47"/>
        <v>3.2387947549625339E-2</v>
      </c>
      <c r="AC10">
        <f t="shared" si="47"/>
        <v>2.1950935830875304E-2</v>
      </c>
      <c r="AD10">
        <f t="shared" si="47"/>
        <v>3.8256041857661051E-2</v>
      </c>
      <c r="AE10">
        <f t="shared" si="47"/>
        <v>1.5555323386678879E-2</v>
      </c>
      <c r="AF10">
        <f t="shared" si="47"/>
        <v>5.8790012281768202E-2</v>
      </c>
      <c r="AG10">
        <f t="shared" si="47"/>
        <v>9.5920173489317303E-4</v>
      </c>
      <c r="AH10">
        <f t="shared" si="47"/>
        <v>0.17821401479292892</v>
      </c>
      <c r="AI10">
        <f t="shared" si="47"/>
        <v>0.1130415468799825</v>
      </c>
      <c r="AJ10">
        <f t="shared" si="47"/>
        <v>2.4501333431321763E-2</v>
      </c>
      <c r="AK10">
        <f t="shared" si="47"/>
        <v>3.803805915676816E-2</v>
      </c>
      <c r="AL10">
        <f t="shared" si="47"/>
        <v>8.8414561991789001E-3</v>
      </c>
      <c r="AM10">
        <f t="shared" si="47"/>
        <v>0.10242142969248243</v>
      </c>
      <c r="AN10">
        <f t="shared" si="47"/>
        <v>2.4326947270607448E-2</v>
      </c>
      <c r="AO10">
        <f t="shared" si="47"/>
        <v>2.9637005864357479E-2</v>
      </c>
      <c r="AP10">
        <f t="shared" si="47"/>
        <v>2.6825029022839588E-2</v>
      </c>
      <c r="AQ10">
        <f t="shared" si="47"/>
        <v>2.4501333431321763E-2</v>
      </c>
      <c r="AR10">
        <f t="shared" si="47"/>
        <v>3.803805915676816E-2</v>
      </c>
      <c r="AS10">
        <f t="shared" si="47"/>
        <v>8.8414561991789001E-3</v>
      </c>
      <c r="AT10">
        <f t="shared" si="47"/>
        <v>0.10242142969248243</v>
      </c>
      <c r="AU10">
        <f t="shared" si="47"/>
        <v>2.4326947270607448E-2</v>
      </c>
      <c r="AV10">
        <f t="shared" si="47"/>
        <v>2.9637005864357479E-2</v>
      </c>
      <c r="AW10">
        <f t="shared" si="47"/>
        <v>2.9445181087571732E-2</v>
      </c>
      <c r="AX10">
        <f t="shared" si="47"/>
        <v>1.9853942248286047E-2</v>
      </c>
      <c r="AY10">
        <f t="shared" si="47"/>
        <v>5.1204214290696728E-2</v>
      </c>
      <c r="AZ10">
        <f t="shared" si="47"/>
        <v>1.547755027303894E-3</v>
      </c>
      <c r="BA10">
        <f t="shared" si="47"/>
        <v>0.19116218722596456</v>
      </c>
      <c r="BB10">
        <f t="shared" si="47"/>
        <v>0.14633186496033956</v>
      </c>
      <c r="BC10">
        <f t="shared" si="47"/>
        <v>7.8944692806321715E-2</v>
      </c>
      <c r="BD10">
        <f t="shared" si="47"/>
        <v>4.9046886210538836E-3</v>
      </c>
      <c r="BE10">
        <f t="shared" si="47"/>
        <v>0.12379245368801821</v>
      </c>
    </row>
    <row r="11" spans="1:63" x14ac:dyDescent="0.3">
      <c r="AA11">
        <v>62</v>
      </c>
    </row>
    <row r="12" spans="1:63" x14ac:dyDescent="0.3">
      <c r="A12">
        <v>0.5080915178571429</v>
      </c>
      <c r="AA12">
        <v>26</v>
      </c>
    </row>
    <row r="13" spans="1:63" x14ac:dyDescent="0.3">
      <c r="A13">
        <f>SQRT(SUM(B10:BE10)/(56-1))</f>
        <v>0.23286428022839956</v>
      </c>
      <c r="AA13">
        <v>48</v>
      </c>
    </row>
    <row r="14" spans="1:63" x14ac:dyDescent="0.3">
      <c r="AA14">
        <v>64</v>
      </c>
    </row>
    <row r="15" spans="1:63" x14ac:dyDescent="0.3">
      <c r="AA15">
        <v>22</v>
      </c>
    </row>
    <row r="16" spans="1:63" x14ac:dyDescent="0.3">
      <c r="AA16">
        <v>26</v>
      </c>
    </row>
    <row r="17" spans="27:27" x14ac:dyDescent="0.3">
      <c r="AA17">
        <v>26</v>
      </c>
    </row>
    <row r="18" spans="27:27" x14ac:dyDescent="0.3">
      <c r="AA18">
        <v>54</v>
      </c>
    </row>
    <row r="19" spans="27:27" x14ac:dyDescent="0.3">
      <c r="AA19">
        <v>62</v>
      </c>
    </row>
    <row r="20" spans="27:27" x14ac:dyDescent="0.3">
      <c r="AA20">
        <v>40</v>
      </c>
    </row>
    <row r="21" spans="27:27" x14ac:dyDescent="0.3">
      <c r="AA21">
        <v>46</v>
      </c>
    </row>
    <row r="22" spans="27:27" x14ac:dyDescent="0.3">
      <c r="AA22">
        <v>56</v>
      </c>
    </row>
    <row r="23" spans="27:27" x14ac:dyDescent="0.3">
      <c r="AA23">
        <v>52</v>
      </c>
    </row>
    <row r="24" spans="27:27" x14ac:dyDescent="0.3">
      <c r="AA24">
        <v>128</v>
      </c>
    </row>
    <row r="25" spans="27:27" x14ac:dyDescent="0.3">
      <c r="AA25">
        <v>56</v>
      </c>
    </row>
    <row r="26" spans="27:27" x14ac:dyDescent="0.3">
      <c r="AA26">
        <v>110</v>
      </c>
    </row>
    <row r="27" spans="27:27" x14ac:dyDescent="0.3">
      <c r="AA27">
        <v>46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5EA0-33FE-4C24-B0CA-95FB55A9AFD3}">
  <dimension ref="A1:CW30"/>
  <sheetViews>
    <sheetView topLeftCell="J14" zoomScale="204" zoomScaleNormal="250" workbookViewId="0">
      <selection activeCell="T18" sqref="T18"/>
    </sheetView>
  </sheetViews>
  <sheetFormatPr defaultRowHeight="14.4" x14ac:dyDescent="0.3"/>
  <sheetData>
    <row r="1" spans="1:101" s="68" customFormat="1" x14ac:dyDescent="0.3">
      <c r="A1" s="68" t="s">
        <v>215</v>
      </c>
      <c r="B1" s="68">
        <f ca="1">IF(ABS(RANDBETWEEN(0,100)-RANDBETWEEN(0,100))&lt;=25,1,0)</f>
        <v>1</v>
      </c>
      <c r="C1" s="68">
        <f t="shared" ref="C1:BN1" ca="1" si="0">IF(ABS(RANDBETWEEN(0,100)-RANDBETWEEN(0,100))&lt;=25,1,0)</f>
        <v>1</v>
      </c>
      <c r="D1" s="68">
        <f t="shared" ca="1" si="0"/>
        <v>1</v>
      </c>
      <c r="E1" s="68">
        <f t="shared" ca="1" si="0"/>
        <v>0</v>
      </c>
      <c r="F1" s="68">
        <f t="shared" ca="1" si="0"/>
        <v>0</v>
      </c>
      <c r="G1" s="68">
        <f t="shared" ca="1" si="0"/>
        <v>0</v>
      </c>
      <c r="H1" s="68">
        <f t="shared" ca="1" si="0"/>
        <v>0</v>
      </c>
      <c r="I1" s="68">
        <f t="shared" ca="1" si="0"/>
        <v>0</v>
      </c>
      <c r="J1" s="68">
        <f t="shared" ca="1" si="0"/>
        <v>1</v>
      </c>
      <c r="K1" s="68">
        <f t="shared" ca="1" si="0"/>
        <v>1</v>
      </c>
      <c r="L1" s="68">
        <f t="shared" ca="1" si="0"/>
        <v>1</v>
      </c>
      <c r="M1" s="68">
        <f t="shared" ca="1" si="0"/>
        <v>1</v>
      </c>
      <c r="N1" s="68">
        <f t="shared" ca="1" si="0"/>
        <v>1</v>
      </c>
      <c r="O1" s="68">
        <f t="shared" ca="1" si="0"/>
        <v>1</v>
      </c>
      <c r="P1" s="68">
        <f t="shared" ca="1" si="0"/>
        <v>1</v>
      </c>
      <c r="Q1" s="68">
        <f t="shared" ca="1" si="0"/>
        <v>1</v>
      </c>
      <c r="R1" s="68">
        <f t="shared" ca="1" si="0"/>
        <v>0</v>
      </c>
      <c r="S1" s="68">
        <f t="shared" ca="1" si="0"/>
        <v>1</v>
      </c>
      <c r="T1" s="68">
        <f t="shared" ca="1" si="0"/>
        <v>0</v>
      </c>
      <c r="U1" s="68">
        <f t="shared" ca="1" si="0"/>
        <v>0</v>
      </c>
      <c r="V1" s="68">
        <f t="shared" ca="1" si="0"/>
        <v>1</v>
      </c>
      <c r="W1" s="68">
        <f t="shared" ca="1" si="0"/>
        <v>1</v>
      </c>
      <c r="X1" s="68">
        <f t="shared" ca="1" si="0"/>
        <v>0</v>
      </c>
      <c r="Y1" s="68">
        <f t="shared" ca="1" si="0"/>
        <v>0</v>
      </c>
      <c r="Z1" s="68">
        <f t="shared" ca="1" si="0"/>
        <v>0</v>
      </c>
      <c r="AA1" s="68">
        <f t="shared" ca="1" si="0"/>
        <v>0</v>
      </c>
      <c r="AB1" s="68">
        <f t="shared" ca="1" si="0"/>
        <v>0</v>
      </c>
      <c r="AC1" s="68">
        <f t="shared" ca="1" si="0"/>
        <v>0</v>
      </c>
      <c r="AD1" s="68">
        <f t="shared" ca="1" si="0"/>
        <v>0</v>
      </c>
      <c r="AE1" s="68">
        <f t="shared" ca="1" si="0"/>
        <v>0</v>
      </c>
      <c r="AF1" s="68">
        <f t="shared" ca="1" si="0"/>
        <v>1</v>
      </c>
      <c r="AG1" s="68">
        <f t="shared" ca="1" si="0"/>
        <v>1</v>
      </c>
      <c r="AH1" s="68">
        <f t="shared" ca="1" si="0"/>
        <v>0</v>
      </c>
      <c r="AI1" s="68">
        <f t="shared" ca="1" si="0"/>
        <v>0</v>
      </c>
      <c r="AJ1" s="68">
        <f t="shared" ca="1" si="0"/>
        <v>1</v>
      </c>
      <c r="AK1" s="68">
        <f t="shared" ca="1" si="0"/>
        <v>1</v>
      </c>
      <c r="AL1" s="68">
        <f t="shared" ca="1" si="0"/>
        <v>0</v>
      </c>
      <c r="AM1" s="68">
        <f t="shared" ca="1" si="0"/>
        <v>0</v>
      </c>
      <c r="AN1" s="68">
        <f t="shared" ca="1" si="0"/>
        <v>0</v>
      </c>
      <c r="AO1" s="68">
        <f t="shared" ca="1" si="0"/>
        <v>0</v>
      </c>
      <c r="AP1" s="68">
        <f t="shared" ca="1" si="0"/>
        <v>0</v>
      </c>
      <c r="AQ1" s="68">
        <f t="shared" ca="1" si="0"/>
        <v>0</v>
      </c>
      <c r="AR1" s="68">
        <f t="shared" ca="1" si="0"/>
        <v>0</v>
      </c>
      <c r="AS1" s="68">
        <f t="shared" ca="1" si="0"/>
        <v>0</v>
      </c>
      <c r="AT1" s="68">
        <f t="shared" ca="1" si="0"/>
        <v>0</v>
      </c>
      <c r="AU1" s="68">
        <f t="shared" ca="1" si="0"/>
        <v>0</v>
      </c>
      <c r="AV1" s="68">
        <f t="shared" ca="1" si="0"/>
        <v>1</v>
      </c>
      <c r="AW1" s="68">
        <f t="shared" ca="1" si="0"/>
        <v>0</v>
      </c>
      <c r="AX1" s="68">
        <f t="shared" ca="1" si="0"/>
        <v>0</v>
      </c>
      <c r="AY1" s="68">
        <f t="shared" ca="1" si="0"/>
        <v>0</v>
      </c>
      <c r="AZ1" s="68">
        <f t="shared" ca="1" si="0"/>
        <v>0</v>
      </c>
      <c r="BA1" s="68">
        <f t="shared" ca="1" si="0"/>
        <v>1</v>
      </c>
      <c r="BB1" s="68">
        <f t="shared" ca="1" si="0"/>
        <v>0</v>
      </c>
      <c r="BC1" s="68">
        <f t="shared" ca="1" si="0"/>
        <v>1</v>
      </c>
      <c r="BD1" s="68">
        <f t="shared" ca="1" si="0"/>
        <v>0</v>
      </c>
      <c r="BE1" s="68">
        <f t="shared" ca="1" si="0"/>
        <v>1</v>
      </c>
      <c r="BF1" s="68">
        <f t="shared" ca="1" si="0"/>
        <v>0</v>
      </c>
      <c r="BG1" s="68">
        <f t="shared" ca="1" si="0"/>
        <v>1</v>
      </c>
      <c r="BH1" s="68">
        <f t="shared" ca="1" si="0"/>
        <v>1</v>
      </c>
      <c r="BI1" s="68">
        <f t="shared" ca="1" si="0"/>
        <v>0</v>
      </c>
      <c r="BJ1" s="68">
        <f t="shared" ca="1" si="0"/>
        <v>1</v>
      </c>
      <c r="BK1" s="68">
        <f t="shared" ca="1" si="0"/>
        <v>0</v>
      </c>
      <c r="BL1" s="68">
        <f t="shared" ca="1" si="0"/>
        <v>1</v>
      </c>
      <c r="BM1" s="68">
        <f t="shared" ca="1" si="0"/>
        <v>0</v>
      </c>
      <c r="BN1" s="68">
        <f t="shared" ca="1" si="0"/>
        <v>0</v>
      </c>
      <c r="BO1" s="68">
        <f t="shared" ref="BO1:CW1" ca="1" si="1">IF(ABS(RANDBETWEEN(0,100)-RANDBETWEEN(0,100))&lt;=25,1,0)</f>
        <v>0</v>
      </c>
      <c r="BP1" s="68">
        <f t="shared" ca="1" si="1"/>
        <v>0</v>
      </c>
      <c r="BQ1" s="68">
        <f t="shared" ca="1" si="1"/>
        <v>1</v>
      </c>
      <c r="BR1" s="68">
        <f t="shared" ca="1" si="1"/>
        <v>0</v>
      </c>
      <c r="BS1" s="68">
        <f t="shared" ca="1" si="1"/>
        <v>1</v>
      </c>
      <c r="BT1" s="68">
        <f t="shared" ca="1" si="1"/>
        <v>0</v>
      </c>
      <c r="BU1" s="68">
        <f t="shared" ca="1" si="1"/>
        <v>1</v>
      </c>
      <c r="BV1" s="68">
        <f t="shared" ca="1" si="1"/>
        <v>0</v>
      </c>
      <c r="BW1" s="68">
        <f t="shared" ca="1" si="1"/>
        <v>1</v>
      </c>
      <c r="BX1" s="68">
        <f t="shared" ca="1" si="1"/>
        <v>1</v>
      </c>
      <c r="BY1" s="68">
        <f t="shared" ca="1" si="1"/>
        <v>0</v>
      </c>
      <c r="BZ1" s="68">
        <f t="shared" ca="1" si="1"/>
        <v>1</v>
      </c>
      <c r="CA1" s="68">
        <f t="shared" ca="1" si="1"/>
        <v>0</v>
      </c>
      <c r="CB1" s="68">
        <f t="shared" ca="1" si="1"/>
        <v>0</v>
      </c>
      <c r="CC1" s="68">
        <f t="shared" ca="1" si="1"/>
        <v>1</v>
      </c>
      <c r="CD1" s="68">
        <f t="shared" ca="1" si="1"/>
        <v>0</v>
      </c>
      <c r="CE1" s="68">
        <f t="shared" ca="1" si="1"/>
        <v>1</v>
      </c>
      <c r="CF1" s="68">
        <f t="shared" ca="1" si="1"/>
        <v>1</v>
      </c>
      <c r="CG1" s="68">
        <f t="shared" ca="1" si="1"/>
        <v>0</v>
      </c>
      <c r="CH1" s="68">
        <f t="shared" ca="1" si="1"/>
        <v>0</v>
      </c>
      <c r="CI1" s="68">
        <f t="shared" ca="1" si="1"/>
        <v>1</v>
      </c>
      <c r="CJ1" s="68">
        <f t="shared" ca="1" si="1"/>
        <v>0</v>
      </c>
      <c r="CK1" s="68">
        <f t="shared" ca="1" si="1"/>
        <v>0</v>
      </c>
      <c r="CL1" s="68">
        <f t="shared" ca="1" si="1"/>
        <v>1</v>
      </c>
      <c r="CM1" s="68">
        <f t="shared" ca="1" si="1"/>
        <v>0</v>
      </c>
      <c r="CN1" s="68">
        <f t="shared" ca="1" si="1"/>
        <v>0</v>
      </c>
      <c r="CO1" s="68">
        <f t="shared" ca="1" si="1"/>
        <v>1</v>
      </c>
      <c r="CP1" s="68">
        <f t="shared" ca="1" si="1"/>
        <v>1</v>
      </c>
      <c r="CQ1" s="68">
        <f t="shared" ca="1" si="1"/>
        <v>0</v>
      </c>
      <c r="CR1" s="68">
        <f t="shared" ca="1" si="1"/>
        <v>1</v>
      </c>
      <c r="CS1" s="68">
        <f t="shared" ca="1" si="1"/>
        <v>1</v>
      </c>
      <c r="CT1" s="68">
        <f t="shared" ca="1" si="1"/>
        <v>0</v>
      </c>
      <c r="CU1" s="68">
        <f t="shared" ca="1" si="1"/>
        <v>0</v>
      </c>
      <c r="CV1" s="68">
        <f t="shared" ca="1" si="1"/>
        <v>1</v>
      </c>
      <c r="CW1" s="68">
        <f t="shared" ca="1" si="1"/>
        <v>0</v>
      </c>
    </row>
    <row r="2" spans="1:101" s="68" customFormat="1" x14ac:dyDescent="0.3">
      <c r="A2" s="68" t="s">
        <v>216</v>
      </c>
      <c r="B2" s="68">
        <f ca="1">SUM($B$1:B1)</f>
        <v>1</v>
      </c>
      <c r="C2" s="68">
        <f ca="1">SUM($B$1:C1)</f>
        <v>2</v>
      </c>
      <c r="D2" s="68">
        <f ca="1">SUM($B$1:D1)</f>
        <v>3</v>
      </c>
      <c r="E2" s="68">
        <f ca="1">SUM($B$1:E1)</f>
        <v>3</v>
      </c>
      <c r="F2" s="68">
        <f ca="1">SUM($B$1:F1)</f>
        <v>3</v>
      </c>
      <c r="G2" s="68">
        <f ca="1">SUM($B$1:G1)</f>
        <v>3</v>
      </c>
      <c r="H2" s="68">
        <f ca="1">SUM($B$1:H1)</f>
        <v>3</v>
      </c>
      <c r="I2" s="68">
        <f ca="1">SUM($B$1:I1)</f>
        <v>3</v>
      </c>
      <c r="J2" s="68">
        <f ca="1">SUM($B$1:J1)</f>
        <v>4</v>
      </c>
      <c r="K2" s="68">
        <f ca="1">SUM($B$1:K1)</f>
        <v>5</v>
      </c>
      <c r="L2" s="68">
        <f ca="1">SUM($B$1:L1)</f>
        <v>6</v>
      </c>
      <c r="M2" s="68">
        <f ca="1">SUM($B$1:M1)</f>
        <v>7</v>
      </c>
      <c r="N2" s="68">
        <f ca="1">SUM($B$1:N1)</f>
        <v>8</v>
      </c>
      <c r="O2" s="68">
        <f ca="1">SUM($B$1:O1)</f>
        <v>9</v>
      </c>
      <c r="P2" s="68">
        <f ca="1">SUM($B$1:P1)</f>
        <v>10</v>
      </c>
      <c r="Q2" s="68">
        <f ca="1">SUM($B$1:Q1)</f>
        <v>11</v>
      </c>
      <c r="R2" s="68">
        <f ca="1">SUM($B$1:R1)</f>
        <v>11</v>
      </c>
      <c r="S2" s="68">
        <f ca="1">SUM($B$1:S1)</f>
        <v>12</v>
      </c>
      <c r="T2" s="68">
        <f ca="1">SUM($B$1:T1)</f>
        <v>12</v>
      </c>
      <c r="U2" s="68">
        <f ca="1">SUM($B$1:U1)</f>
        <v>12</v>
      </c>
      <c r="V2" s="68">
        <f ca="1">SUM($B$1:V1)</f>
        <v>13</v>
      </c>
      <c r="W2" s="68">
        <f ca="1">SUM($B$1:W1)</f>
        <v>14</v>
      </c>
      <c r="X2" s="68">
        <f ca="1">SUM($B$1:X1)</f>
        <v>14</v>
      </c>
      <c r="Y2" s="68">
        <f ca="1">SUM($B$1:Y1)</f>
        <v>14</v>
      </c>
      <c r="Z2" s="68">
        <f ca="1">SUM($B$1:Z1)</f>
        <v>14</v>
      </c>
      <c r="AA2" s="68">
        <f ca="1">SUM($B$1:AA1)</f>
        <v>14</v>
      </c>
      <c r="AB2" s="68">
        <f ca="1">SUM($B$1:AB1)</f>
        <v>14</v>
      </c>
      <c r="AC2" s="68">
        <f ca="1">SUM($B$1:AC1)</f>
        <v>14</v>
      </c>
      <c r="AD2" s="68">
        <f ca="1">SUM($B$1:AD1)</f>
        <v>14</v>
      </c>
      <c r="AE2" s="68">
        <f ca="1">SUM($B$1:AE1)</f>
        <v>14</v>
      </c>
      <c r="AF2" s="68">
        <f ca="1">SUM($B$1:AF1)</f>
        <v>15</v>
      </c>
      <c r="AG2" s="68">
        <f ca="1">SUM($B$1:AG1)</f>
        <v>16</v>
      </c>
      <c r="AH2" s="68">
        <f ca="1">SUM($B$1:AH1)</f>
        <v>16</v>
      </c>
      <c r="AI2" s="68">
        <f ca="1">SUM($B$1:AI1)</f>
        <v>16</v>
      </c>
      <c r="AJ2" s="68">
        <f ca="1">SUM($B$1:AJ1)</f>
        <v>17</v>
      </c>
      <c r="AK2" s="68">
        <f ca="1">SUM($B$1:AK1)</f>
        <v>18</v>
      </c>
      <c r="AL2" s="68">
        <f ca="1">SUM($B$1:AL1)</f>
        <v>18</v>
      </c>
      <c r="AM2" s="68">
        <f ca="1">SUM($B$1:AM1)</f>
        <v>18</v>
      </c>
      <c r="AN2" s="68">
        <f ca="1">SUM($B$1:AN1)</f>
        <v>18</v>
      </c>
      <c r="AO2" s="68">
        <f ca="1">SUM($B$1:AO1)</f>
        <v>18</v>
      </c>
      <c r="AP2" s="68">
        <f ca="1">SUM($B$1:AP1)</f>
        <v>18</v>
      </c>
      <c r="AQ2" s="68">
        <f ca="1">SUM($B$1:AQ1)</f>
        <v>18</v>
      </c>
      <c r="AR2" s="68">
        <f ca="1">SUM($B$1:AR1)</f>
        <v>18</v>
      </c>
      <c r="AS2" s="68">
        <f ca="1">SUM($B$1:AS1)</f>
        <v>18</v>
      </c>
      <c r="AT2" s="68">
        <f ca="1">SUM($B$1:AT1)</f>
        <v>18</v>
      </c>
      <c r="AU2" s="68">
        <f ca="1">SUM($B$1:AU1)</f>
        <v>18</v>
      </c>
      <c r="AV2" s="68">
        <f ca="1">SUM($B$1:AV1)</f>
        <v>19</v>
      </c>
      <c r="AW2" s="68">
        <f ca="1">SUM($B$1:AW1)</f>
        <v>19</v>
      </c>
      <c r="AX2" s="68">
        <f ca="1">SUM($B$1:AX1)</f>
        <v>19</v>
      </c>
      <c r="AY2" s="68">
        <f ca="1">SUM($B$1:AY1)</f>
        <v>19</v>
      </c>
      <c r="AZ2" s="68">
        <f ca="1">SUM($B$1:AZ1)</f>
        <v>19</v>
      </c>
      <c r="BA2" s="68">
        <f ca="1">SUM($B$1:BA1)</f>
        <v>20</v>
      </c>
      <c r="BB2" s="68">
        <f ca="1">SUM($B$1:BB1)</f>
        <v>20</v>
      </c>
      <c r="BC2" s="68">
        <f ca="1">SUM($B$1:BC1)</f>
        <v>21</v>
      </c>
      <c r="BD2" s="68">
        <f ca="1">SUM($B$1:BD1)</f>
        <v>21</v>
      </c>
      <c r="BE2" s="68">
        <f ca="1">SUM($B$1:BE1)</f>
        <v>22</v>
      </c>
      <c r="BF2" s="68">
        <f ca="1">SUM($B$1:BF1)</f>
        <v>22</v>
      </c>
      <c r="BG2" s="68">
        <f ca="1">SUM($B$1:BG1)</f>
        <v>23</v>
      </c>
      <c r="BH2" s="68">
        <f ca="1">SUM($B$1:BH1)</f>
        <v>24</v>
      </c>
      <c r="BI2" s="68">
        <f ca="1">SUM($B$1:BI1)</f>
        <v>24</v>
      </c>
      <c r="BJ2" s="68">
        <f ca="1">SUM($B$1:BJ1)</f>
        <v>25</v>
      </c>
      <c r="BK2" s="68">
        <f ca="1">SUM($B$1:BK1)</f>
        <v>25</v>
      </c>
      <c r="BL2" s="68">
        <f ca="1">SUM($B$1:BL1)</f>
        <v>26</v>
      </c>
      <c r="BM2" s="68">
        <f ca="1">SUM($B$1:BM1)</f>
        <v>26</v>
      </c>
      <c r="BN2" s="68">
        <f ca="1">SUM($B$1:BN1)</f>
        <v>26</v>
      </c>
      <c r="BO2" s="68">
        <f ca="1">SUM($B$1:BO1)</f>
        <v>26</v>
      </c>
      <c r="BP2" s="68">
        <f ca="1">SUM($B$1:BP1)</f>
        <v>26</v>
      </c>
      <c r="BQ2" s="68">
        <f ca="1">SUM($B$1:BQ1)</f>
        <v>27</v>
      </c>
      <c r="BR2" s="68">
        <f ca="1">SUM($B$1:BR1)</f>
        <v>27</v>
      </c>
      <c r="BS2" s="68">
        <f ca="1">SUM($B$1:BS1)</f>
        <v>28</v>
      </c>
      <c r="BT2" s="68">
        <f ca="1">SUM($B$1:BT1)</f>
        <v>28</v>
      </c>
      <c r="BU2" s="68">
        <f ca="1">SUM($B$1:BU1)</f>
        <v>29</v>
      </c>
      <c r="BV2" s="68">
        <f ca="1">SUM($B$1:BV1)</f>
        <v>29</v>
      </c>
      <c r="BW2" s="68">
        <f ca="1">SUM($B$1:BW1)</f>
        <v>30</v>
      </c>
      <c r="BX2" s="68">
        <f ca="1">SUM($B$1:BX1)</f>
        <v>31</v>
      </c>
      <c r="BY2" s="68">
        <f ca="1">SUM($B$1:BY1)</f>
        <v>31</v>
      </c>
      <c r="BZ2" s="68">
        <f ca="1">SUM($B$1:BZ1)</f>
        <v>32</v>
      </c>
      <c r="CA2" s="68">
        <f ca="1">SUM($B$1:CA1)</f>
        <v>32</v>
      </c>
      <c r="CB2" s="68">
        <f ca="1">SUM($B$1:CB1)</f>
        <v>32</v>
      </c>
      <c r="CC2" s="68">
        <f ca="1">SUM($B$1:CC1)</f>
        <v>33</v>
      </c>
      <c r="CD2" s="68">
        <f ca="1">SUM($B$1:CD1)</f>
        <v>33</v>
      </c>
      <c r="CE2" s="68">
        <f ca="1">SUM($B$1:CE1)</f>
        <v>34</v>
      </c>
      <c r="CF2" s="68">
        <f ca="1">SUM($B$1:CF1)</f>
        <v>35</v>
      </c>
      <c r="CG2" s="68">
        <f ca="1">SUM($B$1:CG1)</f>
        <v>35</v>
      </c>
      <c r="CH2" s="68">
        <f ca="1">SUM($B$1:CH1)</f>
        <v>35</v>
      </c>
      <c r="CI2" s="68">
        <f ca="1">SUM($B$1:CI1)</f>
        <v>36</v>
      </c>
      <c r="CJ2" s="68">
        <f ca="1">SUM($B$1:CJ1)</f>
        <v>36</v>
      </c>
      <c r="CK2" s="68">
        <f ca="1">SUM($B$1:CK1)</f>
        <v>36</v>
      </c>
      <c r="CL2" s="68">
        <f ca="1">SUM($B$1:CL1)</f>
        <v>37</v>
      </c>
      <c r="CM2" s="68">
        <f ca="1">SUM($B$1:CM1)</f>
        <v>37</v>
      </c>
      <c r="CN2" s="68">
        <f ca="1">SUM($B$1:CN1)</f>
        <v>37</v>
      </c>
      <c r="CO2" s="68">
        <f ca="1">SUM($B$1:CO1)</f>
        <v>38</v>
      </c>
      <c r="CP2" s="68">
        <f ca="1">SUM($B$1:CP1)</f>
        <v>39</v>
      </c>
      <c r="CQ2" s="68">
        <f ca="1">SUM($B$1:CQ1)</f>
        <v>39</v>
      </c>
      <c r="CR2" s="68">
        <f ca="1">SUM($B$1:CR1)</f>
        <v>40</v>
      </c>
      <c r="CS2" s="68">
        <f ca="1">SUM($B$1:CS1)</f>
        <v>41</v>
      </c>
      <c r="CT2" s="68">
        <f ca="1">SUM($B$1:CT1)</f>
        <v>41</v>
      </c>
      <c r="CU2" s="68">
        <f ca="1">SUM($B$1:CU1)</f>
        <v>41</v>
      </c>
      <c r="CV2" s="68">
        <f ca="1">SUM($B$1:CV1)</f>
        <v>42</v>
      </c>
      <c r="CW2" s="68">
        <f ca="1">SUM($B$1:CW1)</f>
        <v>42</v>
      </c>
    </row>
    <row r="3" spans="1:101" s="68" customFormat="1" x14ac:dyDescent="0.3">
      <c r="A3" s="68" t="s">
        <v>23</v>
      </c>
      <c r="B3" s="68">
        <f>1</f>
        <v>1</v>
      </c>
      <c r="C3" s="68">
        <f>B3+1</f>
        <v>2</v>
      </c>
      <c r="D3" s="68">
        <f t="shared" ref="D3:BK3" si="2">C3+1</f>
        <v>3</v>
      </c>
      <c r="E3" s="68">
        <f t="shared" si="2"/>
        <v>4</v>
      </c>
      <c r="F3" s="68">
        <f t="shared" si="2"/>
        <v>5</v>
      </c>
      <c r="G3" s="68">
        <f t="shared" si="2"/>
        <v>6</v>
      </c>
      <c r="H3" s="68">
        <f t="shared" si="2"/>
        <v>7</v>
      </c>
      <c r="I3" s="68">
        <f t="shared" si="2"/>
        <v>8</v>
      </c>
      <c r="J3" s="68">
        <f t="shared" si="2"/>
        <v>9</v>
      </c>
      <c r="K3" s="68">
        <f t="shared" si="2"/>
        <v>10</v>
      </c>
      <c r="L3" s="68">
        <f t="shared" si="2"/>
        <v>11</v>
      </c>
      <c r="M3" s="68">
        <f t="shared" si="2"/>
        <v>12</v>
      </c>
      <c r="N3" s="68">
        <f t="shared" si="2"/>
        <v>13</v>
      </c>
      <c r="O3" s="68">
        <f t="shared" si="2"/>
        <v>14</v>
      </c>
      <c r="P3" s="68">
        <f t="shared" si="2"/>
        <v>15</v>
      </c>
      <c r="Q3" s="68">
        <f t="shared" si="2"/>
        <v>16</v>
      </c>
      <c r="R3" s="68">
        <f t="shared" si="2"/>
        <v>17</v>
      </c>
      <c r="S3" s="68">
        <f t="shared" si="2"/>
        <v>18</v>
      </c>
      <c r="T3" s="68">
        <f t="shared" si="2"/>
        <v>19</v>
      </c>
      <c r="U3" s="68">
        <f t="shared" si="2"/>
        <v>20</v>
      </c>
      <c r="V3" s="68">
        <f t="shared" si="2"/>
        <v>21</v>
      </c>
      <c r="W3" s="68">
        <f t="shared" si="2"/>
        <v>22</v>
      </c>
      <c r="X3" s="68">
        <f t="shared" si="2"/>
        <v>23</v>
      </c>
      <c r="Y3" s="68">
        <f t="shared" si="2"/>
        <v>24</v>
      </c>
      <c r="Z3" s="68">
        <f t="shared" si="2"/>
        <v>25</v>
      </c>
      <c r="AA3" s="68">
        <f t="shared" si="2"/>
        <v>26</v>
      </c>
      <c r="AB3" s="68">
        <f t="shared" si="2"/>
        <v>27</v>
      </c>
      <c r="AC3" s="68">
        <f t="shared" si="2"/>
        <v>28</v>
      </c>
      <c r="AD3" s="68">
        <f t="shared" si="2"/>
        <v>29</v>
      </c>
      <c r="AE3" s="68">
        <f t="shared" si="2"/>
        <v>30</v>
      </c>
      <c r="AF3" s="68">
        <f t="shared" si="2"/>
        <v>31</v>
      </c>
      <c r="AG3" s="68">
        <f t="shared" si="2"/>
        <v>32</v>
      </c>
      <c r="AH3" s="68">
        <f t="shared" si="2"/>
        <v>33</v>
      </c>
      <c r="AI3" s="68">
        <f t="shared" si="2"/>
        <v>34</v>
      </c>
      <c r="AJ3" s="68">
        <f t="shared" si="2"/>
        <v>35</v>
      </c>
      <c r="AK3" s="68">
        <f t="shared" si="2"/>
        <v>36</v>
      </c>
      <c r="AL3" s="68">
        <f t="shared" si="2"/>
        <v>37</v>
      </c>
      <c r="AM3" s="68">
        <f t="shared" si="2"/>
        <v>38</v>
      </c>
      <c r="AN3" s="68">
        <f t="shared" si="2"/>
        <v>39</v>
      </c>
      <c r="AO3" s="68">
        <f t="shared" si="2"/>
        <v>40</v>
      </c>
      <c r="AP3" s="68">
        <f t="shared" si="2"/>
        <v>41</v>
      </c>
      <c r="AQ3" s="68">
        <f t="shared" si="2"/>
        <v>42</v>
      </c>
      <c r="AR3" s="68">
        <f t="shared" si="2"/>
        <v>43</v>
      </c>
      <c r="AS3" s="68">
        <f t="shared" si="2"/>
        <v>44</v>
      </c>
      <c r="AT3" s="68">
        <f t="shared" si="2"/>
        <v>45</v>
      </c>
      <c r="AU3" s="68">
        <f t="shared" si="2"/>
        <v>46</v>
      </c>
      <c r="AV3" s="68">
        <f t="shared" si="2"/>
        <v>47</v>
      </c>
      <c r="AW3" s="68">
        <f t="shared" si="2"/>
        <v>48</v>
      </c>
      <c r="AX3" s="68">
        <f t="shared" si="2"/>
        <v>49</v>
      </c>
      <c r="AY3" s="68">
        <f t="shared" si="2"/>
        <v>50</v>
      </c>
      <c r="AZ3" s="68">
        <f t="shared" si="2"/>
        <v>51</v>
      </c>
      <c r="BA3" s="68">
        <f t="shared" si="2"/>
        <v>52</v>
      </c>
      <c r="BB3" s="68">
        <f t="shared" si="2"/>
        <v>53</v>
      </c>
      <c r="BC3" s="68">
        <f t="shared" si="2"/>
        <v>54</v>
      </c>
      <c r="BD3" s="68">
        <f t="shared" si="2"/>
        <v>55</v>
      </c>
      <c r="BE3" s="68">
        <f t="shared" si="2"/>
        <v>56</v>
      </c>
      <c r="BF3" s="68">
        <f t="shared" si="2"/>
        <v>57</v>
      </c>
      <c r="BG3" s="68">
        <f t="shared" si="2"/>
        <v>58</v>
      </c>
      <c r="BH3" s="68">
        <f t="shared" si="2"/>
        <v>59</v>
      </c>
      <c r="BI3" s="68">
        <f t="shared" si="2"/>
        <v>60</v>
      </c>
      <c r="BJ3" s="68">
        <f t="shared" si="2"/>
        <v>61</v>
      </c>
      <c r="BK3" s="68">
        <f t="shared" si="2"/>
        <v>62</v>
      </c>
      <c r="BL3" s="68">
        <f t="shared" ref="BL3" si="3">BK3+1</f>
        <v>63</v>
      </c>
      <c r="BM3" s="68">
        <f t="shared" ref="BM3" si="4">BL3+1</f>
        <v>64</v>
      </c>
      <c r="BN3" s="68">
        <f t="shared" ref="BN3" si="5">BM3+1</f>
        <v>65</v>
      </c>
      <c r="BO3" s="68">
        <f t="shared" ref="BO3" si="6">BN3+1</f>
        <v>66</v>
      </c>
      <c r="BP3" s="68">
        <f t="shared" ref="BP3" si="7">BO3+1</f>
        <v>67</v>
      </c>
      <c r="BQ3" s="68">
        <f t="shared" ref="BQ3" si="8">BP3+1</f>
        <v>68</v>
      </c>
      <c r="BR3" s="68">
        <f t="shared" ref="BR3" si="9">BQ3+1</f>
        <v>69</v>
      </c>
      <c r="BS3" s="68">
        <f t="shared" ref="BS3" si="10">BR3+1</f>
        <v>70</v>
      </c>
      <c r="BT3" s="68">
        <f t="shared" ref="BT3" si="11">BS3+1</f>
        <v>71</v>
      </c>
      <c r="BU3" s="68">
        <f t="shared" ref="BU3" si="12">BT3+1</f>
        <v>72</v>
      </c>
      <c r="BV3" s="68">
        <f t="shared" ref="BV3" si="13">BU3+1</f>
        <v>73</v>
      </c>
      <c r="BW3" s="68">
        <f t="shared" ref="BW3" si="14">BV3+1</f>
        <v>74</v>
      </c>
      <c r="BX3" s="68">
        <f t="shared" ref="BX3" si="15">BW3+1</f>
        <v>75</v>
      </c>
      <c r="BY3" s="68">
        <f t="shared" ref="BY3" si="16">BX3+1</f>
        <v>76</v>
      </c>
      <c r="BZ3" s="68">
        <f t="shared" ref="BZ3" si="17">BY3+1</f>
        <v>77</v>
      </c>
      <c r="CA3" s="68">
        <f t="shared" ref="CA3" si="18">BZ3+1</f>
        <v>78</v>
      </c>
      <c r="CB3" s="68">
        <f t="shared" ref="CB3" si="19">CA3+1</f>
        <v>79</v>
      </c>
      <c r="CC3" s="68">
        <f t="shared" ref="CC3" si="20">CB3+1</f>
        <v>80</v>
      </c>
      <c r="CD3" s="68">
        <f t="shared" ref="CD3" si="21">CC3+1</f>
        <v>81</v>
      </c>
      <c r="CE3" s="68">
        <f t="shared" ref="CE3" si="22">CD3+1</f>
        <v>82</v>
      </c>
      <c r="CF3" s="68">
        <f t="shared" ref="CF3" si="23">CE3+1</f>
        <v>83</v>
      </c>
      <c r="CG3" s="68">
        <f t="shared" ref="CG3" si="24">CF3+1</f>
        <v>84</v>
      </c>
      <c r="CH3" s="68">
        <f t="shared" ref="CH3" si="25">CG3+1</f>
        <v>85</v>
      </c>
      <c r="CI3" s="68">
        <f t="shared" ref="CI3" si="26">CH3+1</f>
        <v>86</v>
      </c>
      <c r="CJ3" s="68">
        <f t="shared" ref="CJ3" si="27">CI3+1</f>
        <v>87</v>
      </c>
      <c r="CK3" s="68">
        <f t="shared" ref="CK3" si="28">CJ3+1</f>
        <v>88</v>
      </c>
      <c r="CL3" s="68">
        <f t="shared" ref="CL3" si="29">CK3+1</f>
        <v>89</v>
      </c>
      <c r="CM3" s="68">
        <f t="shared" ref="CM3" si="30">CL3+1</f>
        <v>90</v>
      </c>
      <c r="CN3" s="68">
        <f t="shared" ref="CN3" si="31">CM3+1</f>
        <v>91</v>
      </c>
      <c r="CO3" s="68">
        <f t="shared" ref="CO3" si="32">CN3+1</f>
        <v>92</v>
      </c>
      <c r="CP3" s="68">
        <f t="shared" ref="CP3" si="33">CO3+1</f>
        <v>93</v>
      </c>
      <c r="CQ3" s="68">
        <f t="shared" ref="CQ3" si="34">CP3+1</f>
        <v>94</v>
      </c>
      <c r="CR3" s="68">
        <f t="shared" ref="CR3" si="35">CQ3+1</f>
        <v>95</v>
      </c>
      <c r="CS3" s="68">
        <f t="shared" ref="CS3" si="36">CR3+1</f>
        <v>96</v>
      </c>
      <c r="CT3" s="68">
        <f t="shared" ref="CT3" si="37">CS3+1</f>
        <v>97</v>
      </c>
      <c r="CU3" s="68">
        <f t="shared" ref="CU3" si="38">CT3+1</f>
        <v>98</v>
      </c>
      <c r="CV3" s="68">
        <f t="shared" ref="CV3:CW3" si="39">CU3+1</f>
        <v>99</v>
      </c>
      <c r="CW3" s="68">
        <f t="shared" si="39"/>
        <v>100</v>
      </c>
    </row>
    <row r="4" spans="1:101" s="68" customFormat="1" x14ac:dyDescent="0.3">
      <c r="A4" s="68" t="s">
        <v>217</v>
      </c>
      <c r="B4" s="68">
        <f ca="1">B2/B3</f>
        <v>1</v>
      </c>
      <c r="C4" s="68">
        <f ca="1">C2/C3</f>
        <v>1</v>
      </c>
      <c r="D4" s="68">
        <f t="shared" ref="D4:BK4" ca="1" si="40">D2/D3</f>
        <v>1</v>
      </c>
      <c r="E4" s="68">
        <f t="shared" ca="1" si="40"/>
        <v>0.75</v>
      </c>
      <c r="F4" s="68">
        <f t="shared" ca="1" si="40"/>
        <v>0.6</v>
      </c>
      <c r="G4" s="68">
        <f t="shared" ca="1" si="40"/>
        <v>0.5</v>
      </c>
      <c r="H4" s="68">
        <f t="shared" ca="1" si="40"/>
        <v>0.42857142857142855</v>
      </c>
      <c r="I4" s="68">
        <f t="shared" ca="1" si="40"/>
        <v>0.375</v>
      </c>
      <c r="J4" s="68">
        <f t="shared" ca="1" si="40"/>
        <v>0.44444444444444442</v>
      </c>
      <c r="K4" s="68">
        <f t="shared" ca="1" si="40"/>
        <v>0.5</v>
      </c>
      <c r="L4" s="68">
        <f t="shared" ca="1" si="40"/>
        <v>0.54545454545454541</v>
      </c>
      <c r="M4" s="68">
        <f t="shared" ca="1" si="40"/>
        <v>0.58333333333333337</v>
      </c>
      <c r="N4" s="68">
        <f t="shared" ca="1" si="40"/>
        <v>0.61538461538461542</v>
      </c>
      <c r="O4" s="68">
        <f t="shared" ca="1" si="40"/>
        <v>0.6428571428571429</v>
      </c>
      <c r="P4" s="68">
        <f t="shared" ca="1" si="40"/>
        <v>0.66666666666666663</v>
      </c>
      <c r="Q4" s="68">
        <f t="shared" ca="1" si="40"/>
        <v>0.6875</v>
      </c>
      <c r="R4" s="68">
        <f t="shared" ca="1" si="40"/>
        <v>0.6470588235294118</v>
      </c>
      <c r="S4" s="68">
        <f t="shared" ca="1" si="40"/>
        <v>0.66666666666666663</v>
      </c>
      <c r="T4" s="68">
        <f t="shared" ca="1" si="40"/>
        <v>0.63157894736842102</v>
      </c>
      <c r="U4" s="68">
        <f t="shared" ca="1" si="40"/>
        <v>0.6</v>
      </c>
      <c r="V4" s="68">
        <f t="shared" ca="1" si="40"/>
        <v>0.61904761904761907</v>
      </c>
      <c r="W4" s="68">
        <f t="shared" ca="1" si="40"/>
        <v>0.63636363636363635</v>
      </c>
      <c r="X4" s="68">
        <f t="shared" ca="1" si="40"/>
        <v>0.60869565217391308</v>
      </c>
      <c r="Y4" s="68">
        <f t="shared" ca="1" si="40"/>
        <v>0.58333333333333337</v>
      </c>
      <c r="Z4" s="68">
        <f t="shared" ca="1" si="40"/>
        <v>0.56000000000000005</v>
      </c>
      <c r="AA4" s="68">
        <f t="shared" ca="1" si="40"/>
        <v>0.53846153846153844</v>
      </c>
      <c r="AB4" s="68">
        <f t="shared" ca="1" si="40"/>
        <v>0.51851851851851849</v>
      </c>
      <c r="AC4" s="68">
        <f t="shared" ca="1" si="40"/>
        <v>0.5</v>
      </c>
      <c r="AD4" s="68">
        <f t="shared" ca="1" si="40"/>
        <v>0.48275862068965519</v>
      </c>
      <c r="AE4" s="68">
        <f t="shared" ca="1" si="40"/>
        <v>0.46666666666666667</v>
      </c>
      <c r="AF4" s="68">
        <f t="shared" ca="1" si="40"/>
        <v>0.4838709677419355</v>
      </c>
      <c r="AG4" s="68">
        <f t="shared" ca="1" si="40"/>
        <v>0.5</v>
      </c>
      <c r="AH4" s="68">
        <f t="shared" ca="1" si="40"/>
        <v>0.48484848484848486</v>
      </c>
      <c r="AI4" s="68">
        <f t="shared" ca="1" si="40"/>
        <v>0.47058823529411764</v>
      </c>
      <c r="AJ4" s="68">
        <f t="shared" ca="1" si="40"/>
        <v>0.48571428571428571</v>
      </c>
      <c r="AK4" s="68">
        <f t="shared" ca="1" si="40"/>
        <v>0.5</v>
      </c>
      <c r="AL4" s="68">
        <f t="shared" ca="1" si="40"/>
        <v>0.48648648648648651</v>
      </c>
      <c r="AM4" s="68">
        <f t="shared" ca="1" si="40"/>
        <v>0.47368421052631576</v>
      </c>
      <c r="AN4" s="68">
        <f t="shared" ca="1" si="40"/>
        <v>0.46153846153846156</v>
      </c>
      <c r="AO4" s="68">
        <f t="shared" ca="1" si="40"/>
        <v>0.45</v>
      </c>
      <c r="AP4" s="68">
        <f t="shared" ca="1" si="40"/>
        <v>0.43902439024390244</v>
      </c>
      <c r="AQ4" s="68">
        <f t="shared" ca="1" si="40"/>
        <v>0.42857142857142855</v>
      </c>
      <c r="AR4" s="68">
        <f t="shared" ca="1" si="40"/>
        <v>0.41860465116279072</v>
      </c>
      <c r="AS4" s="68">
        <f t="shared" ca="1" si="40"/>
        <v>0.40909090909090912</v>
      </c>
      <c r="AT4" s="68">
        <f t="shared" ca="1" si="40"/>
        <v>0.4</v>
      </c>
      <c r="AU4" s="68">
        <f t="shared" ca="1" si="40"/>
        <v>0.39130434782608697</v>
      </c>
      <c r="AV4" s="68">
        <f t="shared" ca="1" si="40"/>
        <v>0.40425531914893614</v>
      </c>
      <c r="AW4" s="68">
        <f t="shared" ca="1" si="40"/>
        <v>0.39583333333333331</v>
      </c>
      <c r="AX4" s="68">
        <f t="shared" ca="1" si="40"/>
        <v>0.38775510204081631</v>
      </c>
      <c r="AY4" s="68">
        <f t="shared" ca="1" si="40"/>
        <v>0.38</v>
      </c>
      <c r="AZ4" s="68">
        <f t="shared" ca="1" si="40"/>
        <v>0.37254901960784315</v>
      </c>
      <c r="BA4" s="68">
        <f t="shared" ca="1" si="40"/>
        <v>0.38461538461538464</v>
      </c>
      <c r="BB4" s="68">
        <f t="shared" ca="1" si="40"/>
        <v>0.37735849056603776</v>
      </c>
      <c r="BC4" s="68">
        <f t="shared" ca="1" si="40"/>
        <v>0.3888888888888889</v>
      </c>
      <c r="BD4" s="68">
        <f t="shared" ca="1" si="40"/>
        <v>0.38181818181818183</v>
      </c>
      <c r="BE4" s="68">
        <f t="shared" ca="1" si="40"/>
        <v>0.39285714285714285</v>
      </c>
      <c r="BF4" s="68">
        <f t="shared" ca="1" si="40"/>
        <v>0.38596491228070173</v>
      </c>
      <c r="BG4" s="68">
        <f t="shared" ca="1" si="40"/>
        <v>0.39655172413793105</v>
      </c>
      <c r="BH4" s="68">
        <f t="shared" ca="1" si="40"/>
        <v>0.40677966101694918</v>
      </c>
      <c r="BI4" s="68">
        <f t="shared" ca="1" si="40"/>
        <v>0.4</v>
      </c>
      <c r="BJ4" s="68">
        <f t="shared" ca="1" si="40"/>
        <v>0.4098360655737705</v>
      </c>
      <c r="BK4" s="68">
        <f t="shared" ca="1" si="40"/>
        <v>0.40322580645161288</v>
      </c>
      <c r="BL4" s="68">
        <f t="shared" ref="BL4:CC4" ca="1" si="41">BL2/BL3</f>
        <v>0.41269841269841268</v>
      </c>
      <c r="BM4" s="68">
        <f t="shared" ca="1" si="41"/>
        <v>0.40625</v>
      </c>
      <c r="BN4" s="68">
        <f t="shared" ca="1" si="41"/>
        <v>0.4</v>
      </c>
      <c r="BO4" s="68">
        <f t="shared" ca="1" si="41"/>
        <v>0.39393939393939392</v>
      </c>
      <c r="BP4" s="68">
        <f t="shared" ca="1" si="41"/>
        <v>0.38805970149253732</v>
      </c>
      <c r="BQ4" s="68">
        <f t="shared" ca="1" si="41"/>
        <v>0.39705882352941174</v>
      </c>
      <c r="BR4" s="68">
        <f t="shared" ca="1" si="41"/>
        <v>0.39130434782608697</v>
      </c>
      <c r="BS4" s="68">
        <f t="shared" ca="1" si="41"/>
        <v>0.4</v>
      </c>
      <c r="BT4" s="68">
        <f t="shared" ca="1" si="41"/>
        <v>0.39436619718309857</v>
      </c>
      <c r="BU4" s="68">
        <f t="shared" ca="1" si="41"/>
        <v>0.40277777777777779</v>
      </c>
      <c r="BV4" s="68">
        <f t="shared" ca="1" si="41"/>
        <v>0.39726027397260272</v>
      </c>
      <c r="BW4" s="68">
        <f t="shared" ca="1" si="41"/>
        <v>0.40540540540540543</v>
      </c>
      <c r="BX4" s="68">
        <f t="shared" ca="1" si="41"/>
        <v>0.41333333333333333</v>
      </c>
      <c r="BY4" s="68">
        <f t="shared" ca="1" si="41"/>
        <v>0.40789473684210525</v>
      </c>
      <c r="BZ4" s="68">
        <f t="shared" ca="1" si="41"/>
        <v>0.41558441558441561</v>
      </c>
      <c r="CA4" s="68">
        <f t="shared" ca="1" si="41"/>
        <v>0.41025641025641024</v>
      </c>
      <c r="CB4" s="68">
        <f t="shared" ca="1" si="41"/>
        <v>0.4050632911392405</v>
      </c>
      <c r="CC4" s="68">
        <f t="shared" ca="1" si="41"/>
        <v>0.41249999999999998</v>
      </c>
      <c r="CD4" s="68">
        <f t="shared" ref="CD4:CW4" ca="1" si="42">CD2/CD3</f>
        <v>0.40740740740740738</v>
      </c>
      <c r="CE4" s="68">
        <f t="shared" ca="1" si="42"/>
        <v>0.41463414634146339</v>
      </c>
      <c r="CF4" s="68">
        <f t="shared" ca="1" si="42"/>
        <v>0.42168674698795183</v>
      </c>
      <c r="CG4" s="68">
        <f t="shared" ca="1" si="42"/>
        <v>0.41666666666666669</v>
      </c>
      <c r="CH4" s="68">
        <f t="shared" ca="1" si="42"/>
        <v>0.41176470588235292</v>
      </c>
      <c r="CI4" s="68">
        <f t="shared" ca="1" si="42"/>
        <v>0.41860465116279072</v>
      </c>
      <c r="CJ4" s="68">
        <f t="shared" ca="1" si="42"/>
        <v>0.41379310344827586</v>
      </c>
      <c r="CK4" s="68">
        <f t="shared" ca="1" si="42"/>
        <v>0.40909090909090912</v>
      </c>
      <c r="CL4" s="68">
        <f t="shared" ca="1" si="42"/>
        <v>0.4157303370786517</v>
      </c>
      <c r="CM4" s="68">
        <f t="shared" ca="1" si="42"/>
        <v>0.41111111111111109</v>
      </c>
      <c r="CN4" s="68">
        <f t="shared" ca="1" si="42"/>
        <v>0.40659340659340659</v>
      </c>
      <c r="CO4" s="68">
        <f t="shared" ca="1" si="42"/>
        <v>0.41304347826086957</v>
      </c>
      <c r="CP4" s="68">
        <f t="shared" ca="1" si="42"/>
        <v>0.41935483870967744</v>
      </c>
      <c r="CQ4" s="68">
        <f t="shared" ca="1" si="42"/>
        <v>0.41489361702127658</v>
      </c>
      <c r="CR4" s="68">
        <f t="shared" ca="1" si="42"/>
        <v>0.42105263157894735</v>
      </c>
      <c r="CS4" s="68">
        <f t="shared" ca="1" si="42"/>
        <v>0.42708333333333331</v>
      </c>
      <c r="CT4" s="68">
        <f t="shared" ca="1" si="42"/>
        <v>0.42268041237113402</v>
      </c>
      <c r="CU4" s="68">
        <f t="shared" ca="1" si="42"/>
        <v>0.41836734693877553</v>
      </c>
      <c r="CV4" s="68">
        <f t="shared" ca="1" si="42"/>
        <v>0.42424242424242425</v>
      </c>
      <c r="CW4" s="68">
        <f t="shared" ca="1" si="42"/>
        <v>0.42</v>
      </c>
    </row>
    <row r="5" spans="1:101" x14ac:dyDescent="0.3">
      <c r="B5">
        <f ca="1">$B$7-$A$6</f>
        <v>0.37</v>
      </c>
      <c r="C5">
        <f ca="1">$B$5</f>
        <v>0.37</v>
      </c>
      <c r="D5">
        <f t="shared" ref="D5:BO5" ca="1" si="43">$B$5</f>
        <v>0.37</v>
      </c>
      <c r="E5">
        <f t="shared" ca="1" si="43"/>
        <v>0.37</v>
      </c>
      <c r="F5">
        <f t="shared" ca="1" si="43"/>
        <v>0.37</v>
      </c>
      <c r="G5">
        <f t="shared" ca="1" si="43"/>
        <v>0.37</v>
      </c>
      <c r="H5">
        <f t="shared" ca="1" si="43"/>
        <v>0.37</v>
      </c>
      <c r="I5">
        <f t="shared" ca="1" si="43"/>
        <v>0.37</v>
      </c>
      <c r="J5">
        <f t="shared" ca="1" si="43"/>
        <v>0.37</v>
      </c>
      <c r="K5">
        <f t="shared" ca="1" si="43"/>
        <v>0.37</v>
      </c>
      <c r="L5">
        <f t="shared" ca="1" si="43"/>
        <v>0.37</v>
      </c>
      <c r="M5">
        <f t="shared" ca="1" si="43"/>
        <v>0.37</v>
      </c>
      <c r="N5">
        <f t="shared" ca="1" si="43"/>
        <v>0.37</v>
      </c>
      <c r="O5">
        <f t="shared" ca="1" si="43"/>
        <v>0.37</v>
      </c>
      <c r="P5">
        <f t="shared" ca="1" si="43"/>
        <v>0.37</v>
      </c>
      <c r="Q5">
        <f t="shared" ca="1" si="43"/>
        <v>0.37</v>
      </c>
      <c r="R5">
        <f t="shared" ca="1" si="43"/>
        <v>0.37</v>
      </c>
      <c r="S5">
        <f t="shared" ca="1" si="43"/>
        <v>0.37</v>
      </c>
      <c r="T5">
        <f t="shared" ca="1" si="43"/>
        <v>0.37</v>
      </c>
      <c r="U5">
        <f t="shared" ca="1" si="43"/>
        <v>0.37</v>
      </c>
      <c r="V5">
        <f t="shared" ca="1" si="43"/>
        <v>0.37</v>
      </c>
      <c r="W5">
        <f t="shared" ca="1" si="43"/>
        <v>0.37</v>
      </c>
      <c r="X5">
        <f t="shared" ca="1" si="43"/>
        <v>0.37</v>
      </c>
      <c r="Y5">
        <f t="shared" ca="1" si="43"/>
        <v>0.37</v>
      </c>
      <c r="Z5">
        <f t="shared" ca="1" si="43"/>
        <v>0.37</v>
      </c>
      <c r="AA5">
        <f t="shared" ca="1" si="43"/>
        <v>0.37</v>
      </c>
      <c r="AB5">
        <f t="shared" ca="1" si="43"/>
        <v>0.37</v>
      </c>
      <c r="AC5">
        <f t="shared" ca="1" si="43"/>
        <v>0.37</v>
      </c>
      <c r="AD5">
        <f t="shared" ca="1" si="43"/>
        <v>0.37</v>
      </c>
      <c r="AE5">
        <f t="shared" ca="1" si="43"/>
        <v>0.37</v>
      </c>
      <c r="AF5">
        <f t="shared" ca="1" si="43"/>
        <v>0.37</v>
      </c>
      <c r="AG5">
        <f t="shared" ca="1" si="43"/>
        <v>0.37</v>
      </c>
      <c r="AH5">
        <f t="shared" ca="1" si="43"/>
        <v>0.37</v>
      </c>
      <c r="AI5">
        <f t="shared" ca="1" si="43"/>
        <v>0.37</v>
      </c>
      <c r="AJ5">
        <f t="shared" ca="1" si="43"/>
        <v>0.37</v>
      </c>
      <c r="AK5">
        <f t="shared" ca="1" si="43"/>
        <v>0.37</v>
      </c>
      <c r="AL5">
        <f t="shared" ca="1" si="43"/>
        <v>0.37</v>
      </c>
      <c r="AM5">
        <f t="shared" ca="1" si="43"/>
        <v>0.37</v>
      </c>
      <c r="AN5">
        <f t="shared" ca="1" si="43"/>
        <v>0.37</v>
      </c>
      <c r="AO5">
        <f t="shared" ca="1" si="43"/>
        <v>0.37</v>
      </c>
      <c r="AP5">
        <f t="shared" ca="1" si="43"/>
        <v>0.37</v>
      </c>
      <c r="AQ5">
        <f t="shared" ca="1" si="43"/>
        <v>0.37</v>
      </c>
      <c r="AR5">
        <f t="shared" ca="1" si="43"/>
        <v>0.37</v>
      </c>
      <c r="AS5">
        <f t="shared" ca="1" si="43"/>
        <v>0.37</v>
      </c>
      <c r="AT5">
        <f t="shared" ca="1" si="43"/>
        <v>0.37</v>
      </c>
      <c r="AU5">
        <f t="shared" ca="1" si="43"/>
        <v>0.37</v>
      </c>
      <c r="AV5">
        <f t="shared" ca="1" si="43"/>
        <v>0.37</v>
      </c>
      <c r="AW5">
        <f t="shared" ca="1" si="43"/>
        <v>0.37</v>
      </c>
      <c r="AX5">
        <f t="shared" ca="1" si="43"/>
        <v>0.37</v>
      </c>
      <c r="AY5">
        <f t="shared" ca="1" si="43"/>
        <v>0.37</v>
      </c>
      <c r="AZ5">
        <f t="shared" ca="1" si="43"/>
        <v>0.37</v>
      </c>
      <c r="BA5">
        <f t="shared" ca="1" si="43"/>
        <v>0.37</v>
      </c>
      <c r="BB5">
        <f t="shared" ca="1" si="43"/>
        <v>0.37</v>
      </c>
      <c r="BC5">
        <f t="shared" ca="1" si="43"/>
        <v>0.37</v>
      </c>
      <c r="BD5">
        <f t="shared" ca="1" si="43"/>
        <v>0.37</v>
      </c>
      <c r="BE5">
        <f t="shared" ca="1" si="43"/>
        <v>0.37</v>
      </c>
      <c r="BF5">
        <f t="shared" ca="1" si="43"/>
        <v>0.37</v>
      </c>
      <c r="BG5">
        <f t="shared" ca="1" si="43"/>
        <v>0.37</v>
      </c>
      <c r="BH5">
        <f t="shared" ca="1" si="43"/>
        <v>0.37</v>
      </c>
      <c r="BI5">
        <f t="shared" ca="1" si="43"/>
        <v>0.37</v>
      </c>
      <c r="BJ5">
        <f t="shared" ca="1" si="43"/>
        <v>0.37</v>
      </c>
      <c r="BK5">
        <f t="shared" ca="1" si="43"/>
        <v>0.37</v>
      </c>
      <c r="BL5">
        <f t="shared" ca="1" si="43"/>
        <v>0.37</v>
      </c>
      <c r="BM5">
        <f t="shared" ca="1" si="43"/>
        <v>0.37</v>
      </c>
      <c r="BN5">
        <f t="shared" ca="1" si="43"/>
        <v>0.37</v>
      </c>
      <c r="BO5">
        <f t="shared" ca="1" si="43"/>
        <v>0.37</v>
      </c>
      <c r="BP5">
        <f t="shared" ref="BP5:CW5" ca="1" si="44">$B$5</f>
        <v>0.37</v>
      </c>
      <c r="BQ5">
        <f t="shared" ca="1" si="44"/>
        <v>0.37</v>
      </c>
      <c r="BR5">
        <f t="shared" ca="1" si="44"/>
        <v>0.37</v>
      </c>
      <c r="BS5">
        <f t="shared" ca="1" si="44"/>
        <v>0.37</v>
      </c>
      <c r="BT5">
        <f t="shared" ca="1" si="44"/>
        <v>0.37</v>
      </c>
      <c r="BU5">
        <f t="shared" ca="1" si="44"/>
        <v>0.37</v>
      </c>
      <c r="BV5">
        <f t="shared" ca="1" si="44"/>
        <v>0.37</v>
      </c>
      <c r="BW5">
        <f t="shared" ca="1" si="44"/>
        <v>0.37</v>
      </c>
      <c r="BX5">
        <f t="shared" ca="1" si="44"/>
        <v>0.37</v>
      </c>
      <c r="BY5">
        <f t="shared" ca="1" si="44"/>
        <v>0.37</v>
      </c>
      <c r="BZ5">
        <f t="shared" ca="1" si="44"/>
        <v>0.37</v>
      </c>
      <c r="CA5">
        <f t="shared" ca="1" si="44"/>
        <v>0.37</v>
      </c>
      <c r="CB5">
        <f t="shared" ca="1" si="44"/>
        <v>0.37</v>
      </c>
      <c r="CC5">
        <f t="shared" ca="1" si="44"/>
        <v>0.37</v>
      </c>
      <c r="CD5">
        <f t="shared" ca="1" si="44"/>
        <v>0.37</v>
      </c>
      <c r="CE5">
        <f t="shared" ca="1" si="44"/>
        <v>0.37</v>
      </c>
      <c r="CF5">
        <f t="shared" ca="1" si="44"/>
        <v>0.37</v>
      </c>
      <c r="CG5">
        <f t="shared" ca="1" si="44"/>
        <v>0.37</v>
      </c>
      <c r="CH5">
        <f t="shared" ca="1" si="44"/>
        <v>0.37</v>
      </c>
      <c r="CI5">
        <f t="shared" ca="1" si="44"/>
        <v>0.37</v>
      </c>
      <c r="CJ5">
        <f t="shared" ca="1" si="44"/>
        <v>0.37</v>
      </c>
      <c r="CK5">
        <f t="shared" ca="1" si="44"/>
        <v>0.37</v>
      </c>
      <c r="CL5">
        <f t="shared" ca="1" si="44"/>
        <v>0.37</v>
      </c>
      <c r="CM5">
        <f t="shared" ca="1" si="44"/>
        <v>0.37</v>
      </c>
      <c r="CN5">
        <f t="shared" ca="1" si="44"/>
        <v>0.37</v>
      </c>
      <c r="CO5">
        <f t="shared" ca="1" si="44"/>
        <v>0.37</v>
      </c>
      <c r="CP5">
        <f t="shared" ca="1" si="44"/>
        <v>0.37</v>
      </c>
      <c r="CQ5">
        <f t="shared" ca="1" si="44"/>
        <v>0.37</v>
      </c>
      <c r="CR5">
        <f t="shared" ca="1" si="44"/>
        <v>0.37</v>
      </c>
      <c r="CS5">
        <f t="shared" ca="1" si="44"/>
        <v>0.37</v>
      </c>
      <c r="CT5">
        <f t="shared" ca="1" si="44"/>
        <v>0.37</v>
      </c>
      <c r="CU5">
        <f t="shared" ca="1" si="44"/>
        <v>0.37</v>
      </c>
      <c r="CV5">
        <f t="shared" ca="1" si="44"/>
        <v>0.37</v>
      </c>
      <c r="CW5">
        <f t="shared" ca="1" si="44"/>
        <v>0.37</v>
      </c>
    </row>
    <row r="6" spans="1:101" x14ac:dyDescent="0.3">
      <c r="A6">
        <v>0.05</v>
      </c>
      <c r="B6">
        <f ca="1">$B$7+$A$6</f>
        <v>0.47</v>
      </c>
      <c r="C6">
        <f ca="1">$B$6</f>
        <v>0.47</v>
      </c>
      <c r="D6">
        <f t="shared" ref="D6:BO6" ca="1" si="45">$B$6</f>
        <v>0.47</v>
      </c>
      <c r="E6">
        <f t="shared" ca="1" si="45"/>
        <v>0.47</v>
      </c>
      <c r="F6">
        <f t="shared" ca="1" si="45"/>
        <v>0.47</v>
      </c>
      <c r="G6">
        <f t="shared" ca="1" si="45"/>
        <v>0.47</v>
      </c>
      <c r="H6">
        <f t="shared" ca="1" si="45"/>
        <v>0.47</v>
      </c>
      <c r="I6">
        <f t="shared" ca="1" si="45"/>
        <v>0.47</v>
      </c>
      <c r="J6">
        <f t="shared" ca="1" si="45"/>
        <v>0.47</v>
      </c>
      <c r="K6">
        <f t="shared" ca="1" si="45"/>
        <v>0.47</v>
      </c>
      <c r="L6">
        <f t="shared" ca="1" si="45"/>
        <v>0.47</v>
      </c>
      <c r="M6">
        <f t="shared" ca="1" si="45"/>
        <v>0.47</v>
      </c>
      <c r="N6">
        <f t="shared" ca="1" si="45"/>
        <v>0.47</v>
      </c>
      <c r="O6">
        <f t="shared" ca="1" si="45"/>
        <v>0.47</v>
      </c>
      <c r="P6">
        <f t="shared" ca="1" si="45"/>
        <v>0.47</v>
      </c>
      <c r="Q6">
        <f t="shared" ca="1" si="45"/>
        <v>0.47</v>
      </c>
      <c r="R6">
        <f t="shared" ca="1" si="45"/>
        <v>0.47</v>
      </c>
      <c r="S6">
        <f t="shared" ca="1" si="45"/>
        <v>0.47</v>
      </c>
      <c r="T6">
        <f t="shared" ca="1" si="45"/>
        <v>0.47</v>
      </c>
      <c r="U6">
        <f t="shared" ca="1" si="45"/>
        <v>0.47</v>
      </c>
      <c r="V6">
        <f t="shared" ca="1" si="45"/>
        <v>0.47</v>
      </c>
      <c r="W6">
        <f t="shared" ca="1" si="45"/>
        <v>0.47</v>
      </c>
      <c r="X6">
        <f t="shared" ca="1" si="45"/>
        <v>0.47</v>
      </c>
      <c r="Y6">
        <f t="shared" ca="1" si="45"/>
        <v>0.47</v>
      </c>
      <c r="Z6">
        <f t="shared" ca="1" si="45"/>
        <v>0.47</v>
      </c>
      <c r="AA6">
        <f t="shared" ca="1" si="45"/>
        <v>0.47</v>
      </c>
      <c r="AB6">
        <f t="shared" ca="1" si="45"/>
        <v>0.47</v>
      </c>
      <c r="AC6">
        <f t="shared" ca="1" si="45"/>
        <v>0.47</v>
      </c>
      <c r="AD6">
        <f t="shared" ca="1" si="45"/>
        <v>0.47</v>
      </c>
      <c r="AE6">
        <f t="shared" ca="1" si="45"/>
        <v>0.47</v>
      </c>
      <c r="AF6">
        <f t="shared" ca="1" si="45"/>
        <v>0.47</v>
      </c>
      <c r="AG6">
        <f t="shared" ca="1" si="45"/>
        <v>0.47</v>
      </c>
      <c r="AH6">
        <f t="shared" ca="1" si="45"/>
        <v>0.47</v>
      </c>
      <c r="AI6">
        <f t="shared" ca="1" si="45"/>
        <v>0.47</v>
      </c>
      <c r="AJ6">
        <f t="shared" ca="1" si="45"/>
        <v>0.47</v>
      </c>
      <c r="AK6">
        <f t="shared" ca="1" si="45"/>
        <v>0.47</v>
      </c>
      <c r="AL6">
        <f t="shared" ca="1" si="45"/>
        <v>0.47</v>
      </c>
      <c r="AM6">
        <f t="shared" ca="1" si="45"/>
        <v>0.47</v>
      </c>
      <c r="AN6">
        <f t="shared" ca="1" si="45"/>
        <v>0.47</v>
      </c>
      <c r="AO6">
        <f t="shared" ca="1" si="45"/>
        <v>0.47</v>
      </c>
      <c r="AP6">
        <f t="shared" ca="1" si="45"/>
        <v>0.47</v>
      </c>
      <c r="AQ6">
        <f t="shared" ca="1" si="45"/>
        <v>0.47</v>
      </c>
      <c r="AR6">
        <f t="shared" ca="1" si="45"/>
        <v>0.47</v>
      </c>
      <c r="AS6">
        <f t="shared" ca="1" si="45"/>
        <v>0.47</v>
      </c>
      <c r="AT6">
        <f t="shared" ca="1" si="45"/>
        <v>0.47</v>
      </c>
      <c r="AU6">
        <f t="shared" ca="1" si="45"/>
        <v>0.47</v>
      </c>
      <c r="AV6">
        <f t="shared" ca="1" si="45"/>
        <v>0.47</v>
      </c>
      <c r="AW6">
        <f t="shared" ca="1" si="45"/>
        <v>0.47</v>
      </c>
      <c r="AX6">
        <f t="shared" ca="1" si="45"/>
        <v>0.47</v>
      </c>
      <c r="AY6">
        <f t="shared" ca="1" si="45"/>
        <v>0.47</v>
      </c>
      <c r="AZ6">
        <f t="shared" ca="1" si="45"/>
        <v>0.47</v>
      </c>
      <c r="BA6">
        <f t="shared" ca="1" si="45"/>
        <v>0.47</v>
      </c>
      <c r="BB6">
        <f t="shared" ca="1" si="45"/>
        <v>0.47</v>
      </c>
      <c r="BC6">
        <f t="shared" ca="1" si="45"/>
        <v>0.47</v>
      </c>
      <c r="BD6">
        <f t="shared" ca="1" si="45"/>
        <v>0.47</v>
      </c>
      <c r="BE6">
        <f t="shared" ca="1" si="45"/>
        <v>0.47</v>
      </c>
      <c r="BF6">
        <f t="shared" ca="1" si="45"/>
        <v>0.47</v>
      </c>
      <c r="BG6">
        <f t="shared" ca="1" si="45"/>
        <v>0.47</v>
      </c>
      <c r="BH6">
        <f t="shared" ca="1" si="45"/>
        <v>0.47</v>
      </c>
      <c r="BI6">
        <f t="shared" ca="1" si="45"/>
        <v>0.47</v>
      </c>
      <c r="BJ6">
        <f t="shared" ca="1" si="45"/>
        <v>0.47</v>
      </c>
      <c r="BK6">
        <f t="shared" ca="1" si="45"/>
        <v>0.47</v>
      </c>
      <c r="BL6">
        <f t="shared" ca="1" si="45"/>
        <v>0.47</v>
      </c>
      <c r="BM6">
        <f t="shared" ca="1" si="45"/>
        <v>0.47</v>
      </c>
      <c r="BN6">
        <f t="shared" ca="1" si="45"/>
        <v>0.47</v>
      </c>
      <c r="BO6">
        <f t="shared" ca="1" si="45"/>
        <v>0.47</v>
      </c>
      <c r="BP6">
        <f t="shared" ref="BP6:CW6" ca="1" si="46">$B$6</f>
        <v>0.47</v>
      </c>
      <c r="BQ6">
        <f t="shared" ca="1" si="46"/>
        <v>0.47</v>
      </c>
      <c r="BR6">
        <f t="shared" ca="1" si="46"/>
        <v>0.47</v>
      </c>
      <c r="BS6">
        <f t="shared" ca="1" si="46"/>
        <v>0.47</v>
      </c>
      <c r="BT6">
        <f t="shared" ca="1" si="46"/>
        <v>0.47</v>
      </c>
      <c r="BU6">
        <f t="shared" ca="1" si="46"/>
        <v>0.47</v>
      </c>
      <c r="BV6">
        <f t="shared" ca="1" si="46"/>
        <v>0.47</v>
      </c>
      <c r="BW6">
        <f t="shared" ca="1" si="46"/>
        <v>0.47</v>
      </c>
      <c r="BX6">
        <f t="shared" ca="1" si="46"/>
        <v>0.47</v>
      </c>
      <c r="BY6">
        <f t="shared" ca="1" si="46"/>
        <v>0.47</v>
      </c>
      <c r="BZ6">
        <f t="shared" ca="1" si="46"/>
        <v>0.47</v>
      </c>
      <c r="CA6">
        <f t="shared" ca="1" si="46"/>
        <v>0.47</v>
      </c>
      <c r="CB6">
        <f t="shared" ca="1" si="46"/>
        <v>0.47</v>
      </c>
      <c r="CC6">
        <f t="shared" ca="1" si="46"/>
        <v>0.47</v>
      </c>
      <c r="CD6">
        <f t="shared" ca="1" si="46"/>
        <v>0.47</v>
      </c>
      <c r="CE6">
        <f t="shared" ca="1" si="46"/>
        <v>0.47</v>
      </c>
      <c r="CF6">
        <f t="shared" ca="1" si="46"/>
        <v>0.47</v>
      </c>
      <c r="CG6">
        <f t="shared" ca="1" si="46"/>
        <v>0.47</v>
      </c>
      <c r="CH6">
        <f t="shared" ca="1" si="46"/>
        <v>0.47</v>
      </c>
      <c r="CI6">
        <f t="shared" ca="1" si="46"/>
        <v>0.47</v>
      </c>
      <c r="CJ6">
        <f t="shared" ca="1" si="46"/>
        <v>0.47</v>
      </c>
      <c r="CK6">
        <f t="shared" ca="1" si="46"/>
        <v>0.47</v>
      </c>
      <c r="CL6">
        <f t="shared" ca="1" si="46"/>
        <v>0.47</v>
      </c>
      <c r="CM6">
        <f t="shared" ca="1" si="46"/>
        <v>0.47</v>
      </c>
      <c r="CN6">
        <f t="shared" ca="1" si="46"/>
        <v>0.47</v>
      </c>
      <c r="CO6">
        <f t="shared" ca="1" si="46"/>
        <v>0.47</v>
      </c>
      <c r="CP6">
        <f t="shared" ca="1" si="46"/>
        <v>0.47</v>
      </c>
      <c r="CQ6">
        <f t="shared" ca="1" si="46"/>
        <v>0.47</v>
      </c>
      <c r="CR6">
        <f t="shared" ca="1" si="46"/>
        <v>0.47</v>
      </c>
      <c r="CS6">
        <f t="shared" ca="1" si="46"/>
        <v>0.47</v>
      </c>
      <c r="CT6">
        <f t="shared" ca="1" si="46"/>
        <v>0.47</v>
      </c>
      <c r="CU6">
        <f t="shared" ca="1" si="46"/>
        <v>0.47</v>
      </c>
      <c r="CV6">
        <f t="shared" ca="1" si="46"/>
        <v>0.47</v>
      </c>
      <c r="CW6">
        <f t="shared" ca="1" si="46"/>
        <v>0.47</v>
      </c>
    </row>
    <row r="7" spans="1:101" x14ac:dyDescent="0.3">
      <c r="B7">
        <f ca="1">CW4</f>
        <v>0.42</v>
      </c>
      <c r="C7">
        <f ca="1">$B$7</f>
        <v>0.42</v>
      </c>
      <c r="D7">
        <f t="shared" ref="D7:BO7" ca="1" si="47">$B$7</f>
        <v>0.42</v>
      </c>
      <c r="E7">
        <f t="shared" ca="1" si="47"/>
        <v>0.42</v>
      </c>
      <c r="F7">
        <f t="shared" ca="1" si="47"/>
        <v>0.42</v>
      </c>
      <c r="G7">
        <f t="shared" ca="1" si="47"/>
        <v>0.42</v>
      </c>
      <c r="H7">
        <f t="shared" ca="1" si="47"/>
        <v>0.42</v>
      </c>
      <c r="I7">
        <f t="shared" ca="1" si="47"/>
        <v>0.42</v>
      </c>
      <c r="J7">
        <f t="shared" ca="1" si="47"/>
        <v>0.42</v>
      </c>
      <c r="K7">
        <f t="shared" ca="1" si="47"/>
        <v>0.42</v>
      </c>
      <c r="L7">
        <f t="shared" ca="1" si="47"/>
        <v>0.42</v>
      </c>
      <c r="M7">
        <f t="shared" ca="1" si="47"/>
        <v>0.42</v>
      </c>
      <c r="N7">
        <f t="shared" ca="1" si="47"/>
        <v>0.42</v>
      </c>
      <c r="O7">
        <f t="shared" ca="1" si="47"/>
        <v>0.42</v>
      </c>
      <c r="P7">
        <f t="shared" ca="1" si="47"/>
        <v>0.42</v>
      </c>
      <c r="Q7">
        <f t="shared" ca="1" si="47"/>
        <v>0.42</v>
      </c>
      <c r="R7">
        <f t="shared" ca="1" si="47"/>
        <v>0.42</v>
      </c>
      <c r="S7">
        <f t="shared" ca="1" si="47"/>
        <v>0.42</v>
      </c>
      <c r="T7">
        <f t="shared" ca="1" si="47"/>
        <v>0.42</v>
      </c>
      <c r="U7">
        <f t="shared" ca="1" si="47"/>
        <v>0.42</v>
      </c>
      <c r="V7">
        <f t="shared" ca="1" si="47"/>
        <v>0.42</v>
      </c>
      <c r="W7">
        <f t="shared" ca="1" si="47"/>
        <v>0.42</v>
      </c>
      <c r="X7">
        <f t="shared" ca="1" si="47"/>
        <v>0.42</v>
      </c>
      <c r="Y7">
        <f t="shared" ca="1" si="47"/>
        <v>0.42</v>
      </c>
      <c r="Z7">
        <f t="shared" ca="1" si="47"/>
        <v>0.42</v>
      </c>
      <c r="AA7">
        <f t="shared" ca="1" si="47"/>
        <v>0.42</v>
      </c>
      <c r="AB7">
        <f t="shared" ca="1" si="47"/>
        <v>0.42</v>
      </c>
      <c r="AC7">
        <f t="shared" ca="1" si="47"/>
        <v>0.42</v>
      </c>
      <c r="AD7">
        <f t="shared" ca="1" si="47"/>
        <v>0.42</v>
      </c>
      <c r="AE7">
        <f t="shared" ca="1" si="47"/>
        <v>0.42</v>
      </c>
      <c r="AF7">
        <f t="shared" ca="1" si="47"/>
        <v>0.42</v>
      </c>
      <c r="AG7">
        <f t="shared" ca="1" si="47"/>
        <v>0.42</v>
      </c>
      <c r="AH7">
        <f t="shared" ca="1" si="47"/>
        <v>0.42</v>
      </c>
      <c r="AI7">
        <f t="shared" ca="1" si="47"/>
        <v>0.42</v>
      </c>
      <c r="AJ7">
        <f t="shared" ca="1" si="47"/>
        <v>0.42</v>
      </c>
      <c r="AK7">
        <f t="shared" ca="1" si="47"/>
        <v>0.42</v>
      </c>
      <c r="AL7">
        <f t="shared" ca="1" si="47"/>
        <v>0.42</v>
      </c>
      <c r="AM7">
        <f t="shared" ca="1" si="47"/>
        <v>0.42</v>
      </c>
      <c r="AN7">
        <f t="shared" ca="1" si="47"/>
        <v>0.42</v>
      </c>
      <c r="AO7">
        <f t="shared" ca="1" si="47"/>
        <v>0.42</v>
      </c>
      <c r="AP7">
        <f t="shared" ca="1" si="47"/>
        <v>0.42</v>
      </c>
      <c r="AQ7">
        <f t="shared" ca="1" si="47"/>
        <v>0.42</v>
      </c>
      <c r="AR7">
        <f t="shared" ca="1" si="47"/>
        <v>0.42</v>
      </c>
      <c r="AS7">
        <f t="shared" ca="1" si="47"/>
        <v>0.42</v>
      </c>
      <c r="AT7">
        <f t="shared" ca="1" si="47"/>
        <v>0.42</v>
      </c>
      <c r="AU7">
        <f t="shared" ca="1" si="47"/>
        <v>0.42</v>
      </c>
      <c r="AV7">
        <f t="shared" ca="1" si="47"/>
        <v>0.42</v>
      </c>
      <c r="AW7">
        <f t="shared" ca="1" si="47"/>
        <v>0.42</v>
      </c>
      <c r="AX7">
        <f t="shared" ca="1" si="47"/>
        <v>0.42</v>
      </c>
      <c r="AY7">
        <f t="shared" ca="1" si="47"/>
        <v>0.42</v>
      </c>
      <c r="AZ7">
        <f t="shared" ca="1" si="47"/>
        <v>0.42</v>
      </c>
      <c r="BA7">
        <f t="shared" ca="1" si="47"/>
        <v>0.42</v>
      </c>
      <c r="BB7">
        <f t="shared" ca="1" si="47"/>
        <v>0.42</v>
      </c>
      <c r="BC7">
        <f t="shared" ca="1" si="47"/>
        <v>0.42</v>
      </c>
      <c r="BD7">
        <f t="shared" ca="1" si="47"/>
        <v>0.42</v>
      </c>
      <c r="BE7">
        <f t="shared" ca="1" si="47"/>
        <v>0.42</v>
      </c>
      <c r="BF7">
        <f t="shared" ca="1" si="47"/>
        <v>0.42</v>
      </c>
      <c r="BG7">
        <f t="shared" ca="1" si="47"/>
        <v>0.42</v>
      </c>
      <c r="BH7">
        <f t="shared" ca="1" si="47"/>
        <v>0.42</v>
      </c>
      <c r="BI7">
        <f t="shared" ca="1" si="47"/>
        <v>0.42</v>
      </c>
      <c r="BJ7">
        <f t="shared" ca="1" si="47"/>
        <v>0.42</v>
      </c>
      <c r="BK7">
        <f t="shared" ca="1" si="47"/>
        <v>0.42</v>
      </c>
      <c r="BL7">
        <f t="shared" ca="1" si="47"/>
        <v>0.42</v>
      </c>
      <c r="BM7">
        <f t="shared" ca="1" si="47"/>
        <v>0.42</v>
      </c>
      <c r="BN7">
        <f t="shared" ca="1" si="47"/>
        <v>0.42</v>
      </c>
      <c r="BO7">
        <f t="shared" ca="1" si="47"/>
        <v>0.42</v>
      </c>
      <c r="BP7">
        <f t="shared" ref="BP7:CW7" ca="1" si="48">$B$7</f>
        <v>0.42</v>
      </c>
      <c r="BQ7">
        <f t="shared" ca="1" si="48"/>
        <v>0.42</v>
      </c>
      <c r="BR7">
        <f t="shared" ca="1" si="48"/>
        <v>0.42</v>
      </c>
      <c r="BS7">
        <f t="shared" ca="1" si="48"/>
        <v>0.42</v>
      </c>
      <c r="BT7">
        <f t="shared" ca="1" si="48"/>
        <v>0.42</v>
      </c>
      <c r="BU7">
        <f t="shared" ca="1" si="48"/>
        <v>0.42</v>
      </c>
      <c r="BV7">
        <f t="shared" ca="1" si="48"/>
        <v>0.42</v>
      </c>
      <c r="BW7">
        <f t="shared" ca="1" si="48"/>
        <v>0.42</v>
      </c>
      <c r="BX7">
        <f t="shared" ca="1" si="48"/>
        <v>0.42</v>
      </c>
      <c r="BY7">
        <f t="shared" ca="1" si="48"/>
        <v>0.42</v>
      </c>
      <c r="BZ7">
        <f t="shared" ca="1" si="48"/>
        <v>0.42</v>
      </c>
      <c r="CA7">
        <f t="shared" ca="1" si="48"/>
        <v>0.42</v>
      </c>
      <c r="CB7">
        <f t="shared" ca="1" si="48"/>
        <v>0.42</v>
      </c>
      <c r="CC7">
        <f t="shared" ca="1" si="48"/>
        <v>0.42</v>
      </c>
      <c r="CD7">
        <f t="shared" ca="1" si="48"/>
        <v>0.42</v>
      </c>
      <c r="CE7">
        <f t="shared" ca="1" si="48"/>
        <v>0.42</v>
      </c>
      <c r="CF7">
        <f t="shared" ca="1" si="48"/>
        <v>0.42</v>
      </c>
      <c r="CG7">
        <f t="shared" ca="1" si="48"/>
        <v>0.42</v>
      </c>
      <c r="CH7">
        <f t="shared" ca="1" si="48"/>
        <v>0.42</v>
      </c>
      <c r="CI7">
        <f t="shared" ca="1" si="48"/>
        <v>0.42</v>
      </c>
      <c r="CJ7">
        <f t="shared" ca="1" si="48"/>
        <v>0.42</v>
      </c>
      <c r="CK7">
        <f t="shared" ca="1" si="48"/>
        <v>0.42</v>
      </c>
      <c r="CL7">
        <f t="shared" ca="1" si="48"/>
        <v>0.42</v>
      </c>
      <c r="CM7">
        <f t="shared" ca="1" si="48"/>
        <v>0.42</v>
      </c>
      <c r="CN7">
        <f t="shared" ca="1" si="48"/>
        <v>0.42</v>
      </c>
      <c r="CO7">
        <f t="shared" ca="1" si="48"/>
        <v>0.42</v>
      </c>
      <c r="CP7">
        <f t="shared" ca="1" si="48"/>
        <v>0.42</v>
      </c>
      <c r="CQ7">
        <f t="shared" ca="1" si="48"/>
        <v>0.42</v>
      </c>
      <c r="CR7">
        <f t="shared" ca="1" si="48"/>
        <v>0.42</v>
      </c>
      <c r="CS7">
        <f t="shared" ca="1" si="48"/>
        <v>0.42</v>
      </c>
      <c r="CT7">
        <f t="shared" ca="1" si="48"/>
        <v>0.42</v>
      </c>
      <c r="CU7">
        <f t="shared" ca="1" si="48"/>
        <v>0.42</v>
      </c>
      <c r="CV7">
        <f t="shared" ca="1" si="48"/>
        <v>0.42</v>
      </c>
      <c r="CW7">
        <f t="shared" ca="1" si="48"/>
        <v>0.42</v>
      </c>
    </row>
    <row r="8" spans="1:101" x14ac:dyDescent="0.3">
      <c r="B8" s="68">
        <f ca="1">SUM($B$9:B9)/B3</f>
        <v>0.875</v>
      </c>
      <c r="C8" s="68">
        <f ca="1">SUM($B$9:C9)/C3</f>
        <v>0.8125</v>
      </c>
      <c r="D8" s="68">
        <f ca="1">SUM($B$9:D9)/D3</f>
        <v>0.7109375</v>
      </c>
      <c r="E8" s="68">
        <f ca="1">SUM($B$9:E9)/E3</f>
        <v>0.5390625</v>
      </c>
      <c r="F8" s="68">
        <f ca="1">SUM($B$9:F9)/F3</f>
        <v>0.44218750000000001</v>
      </c>
      <c r="G8" s="68">
        <f ca="1">SUM($B$9:G9)/G3</f>
        <v>0.38802083333333331</v>
      </c>
      <c r="H8" s="68">
        <f ca="1">SUM($B$9:H9)/H3</f>
        <v>0.3671875</v>
      </c>
      <c r="I8" s="68">
        <f ca="1">SUM($B$9:I9)/I3</f>
        <v>0.3828125</v>
      </c>
      <c r="J8" s="68">
        <f ca="1">SUM($B$9:J9)/J3</f>
        <v>0.45052083333333331</v>
      </c>
      <c r="K8" s="68">
        <f ca="1">SUM($B$9:K9)/K3</f>
        <v>0.50468749999999996</v>
      </c>
      <c r="L8" s="68">
        <f ca="1">SUM($B$9:L9)/L3</f>
        <v>0.54829545454545459</v>
      </c>
      <c r="M8" s="68">
        <f ca="1">SUM($B$9:M9)/M3</f>
        <v>0.583984375</v>
      </c>
      <c r="N8" s="68">
        <f ca="1">SUM($B$9:N9)/N3</f>
        <v>0.61237980769230771</v>
      </c>
      <c r="O8" s="68">
        <f ca="1">SUM($B$9:O9)/O3</f>
        <v>0.6333705357142857</v>
      </c>
      <c r="P8" s="68">
        <f ca="1">SUM($B$9:P9)/P3</f>
        <v>0.64583333333333337</v>
      </c>
      <c r="Q8" s="68">
        <f ca="1">SUM($B$9:Q9)/Q3</f>
        <v>0.64599609375</v>
      </c>
      <c r="R8" s="68">
        <f ca="1">SUM($B$9:R9)/R3</f>
        <v>0.62545955882352944</v>
      </c>
      <c r="S8" s="68">
        <f ca="1">SUM($B$9:S9)/S3</f>
        <v>0.62369791666666663</v>
      </c>
      <c r="T8" s="68">
        <f ca="1">SUM($B$9:T9)/T3</f>
        <v>0.60074013157894735</v>
      </c>
      <c r="U8" s="68">
        <f ca="1">SUM($B$9:U9)/U3</f>
        <v>0.58945312500000002</v>
      </c>
      <c r="V8" s="68">
        <f ca="1">SUM($B$9:V9)/V3</f>
        <v>0.5970982142857143</v>
      </c>
      <c r="W8" s="68">
        <f ca="1">SUM($B$9:W9)/W3</f>
        <v>0.59268465909090906</v>
      </c>
      <c r="X8" s="68">
        <f ca="1">SUM($B$9:X9)/X3</f>
        <v>0.56691576086956519</v>
      </c>
      <c r="Y8" s="68">
        <f ca="1">SUM($B$9:Y9)/Y3</f>
        <v>0.54329427083333337</v>
      </c>
      <c r="Z8" s="68">
        <f ca="1">SUM($B$9:Z9)/Z3</f>
        <v>0.52187499999999998</v>
      </c>
      <c r="AA8" s="68">
        <f ca="1">SUM($B$9:AA9)/AA3</f>
        <v>0.50270432692307687</v>
      </c>
      <c r="AB8" s="68">
        <f ca="1">SUM($B$9:AB9)/AB3</f>
        <v>0.48582175925925924</v>
      </c>
      <c r="AC8" s="68">
        <f ca="1">SUM($B$9:AC9)/AC3</f>
        <v>0.47181919642857145</v>
      </c>
      <c r="AD8" s="68">
        <f ca="1">SUM($B$9:AD9)/AD3</f>
        <v>0.46228448275862066</v>
      </c>
      <c r="AE8" s="68">
        <f ca="1">SUM($B$9:AE9)/AE3</f>
        <v>0.46015624999999999</v>
      </c>
      <c r="AF8" s="68">
        <f ca="1">SUM($B$9:AF9)/AF3</f>
        <v>0.47101814516129031</v>
      </c>
      <c r="AG8" s="68">
        <f ca="1">SUM($B$9:AG9)/AG3</f>
        <v>0.474853515625</v>
      </c>
      <c r="AH8" s="68">
        <f ca="1">SUM($B$9:AH9)/AH3</f>
        <v>0.46614583333333331</v>
      </c>
      <c r="AI8" s="68">
        <f ca="1">SUM($B$9:AI9)/AI3</f>
        <v>0.46346507352941174</v>
      </c>
      <c r="AJ8" s="68">
        <f ca="1">SUM($B$9:AJ9)/AJ3</f>
        <v>0.47165178571428573</v>
      </c>
      <c r="AK8" s="68">
        <f ca="1">SUM($B$9:AK9)/AK3</f>
        <v>0.4724392361111111</v>
      </c>
      <c r="AL8" s="68">
        <f ca="1">SUM($B$9:AL9)/AL3</f>
        <v>0.45967060810810811</v>
      </c>
      <c r="AM8" s="68">
        <f ca="1">SUM($B$9:AM9)/AM3</f>
        <v>0.44757401315789475</v>
      </c>
      <c r="AN8" s="68">
        <f ca="1">SUM($B$9:AN9)/AN3</f>
        <v>0.43609775641025639</v>
      </c>
      <c r="AO8" s="68">
        <f ca="1">SUM($B$9:AO9)/AO3</f>
        <v>0.42519531249999998</v>
      </c>
      <c r="AP8" s="68">
        <f ca="1">SUM($B$9:AP9)/AP3</f>
        <v>0.41501524390243905</v>
      </c>
      <c r="AQ8" s="68">
        <f ca="1">SUM($B$9:AQ9)/AQ3</f>
        <v>0.40550595238095238</v>
      </c>
      <c r="AR8" s="68">
        <f ca="1">SUM($B$9:AR9)/AR3</f>
        <v>0.39680232558139533</v>
      </c>
      <c r="AS8" s="68">
        <f ca="1">SUM($B$9:AS9)/AS3</f>
        <v>0.38920454545454547</v>
      </c>
      <c r="AT8" s="68">
        <f ca="1">SUM($B$9:AT9)/AT3</f>
        <v>0.38333333333333336</v>
      </c>
      <c r="AU8" s="68">
        <f ca="1">SUM($B$9:AU9)/AU3</f>
        <v>0.38060461956521741</v>
      </c>
      <c r="AV8" s="68">
        <f ca="1">SUM($B$9:AV9)/AV3</f>
        <v>0.38347739361702127</v>
      </c>
      <c r="AW8" s="68">
        <f ca="1">SUM($B$9:AW9)/AW3</f>
        <v>0.37630208333333331</v>
      </c>
      <c r="AX8" s="68">
        <f ca="1">SUM($B$9:AX9)/AX3</f>
        <v>0.37021683673469385</v>
      </c>
      <c r="AY8" s="68">
        <f ca="1">SUM($B$9:AY9)/AY3</f>
        <v>0.36609375</v>
      </c>
      <c r="AZ8" s="68">
        <f ca="1">SUM($B$9:AZ9)/AZ3</f>
        <v>0.36534926470588236</v>
      </c>
      <c r="BA8" s="68">
        <f ca="1">SUM($B$9:BA9)/BA3</f>
        <v>0.37109375</v>
      </c>
      <c r="BB8" s="68">
        <f ca="1">SUM($B$9:BB9)/BB3</f>
        <v>0.37043042452830188</v>
      </c>
      <c r="BC8" s="68">
        <f ca="1">SUM($B$9:BC9)/BC3</f>
        <v>0.37601273148148145</v>
      </c>
      <c r="BD8" s="68">
        <f ca="1">SUM($B$9:BD9)/BD3</f>
        <v>0.3755681818181818</v>
      </c>
      <c r="BE8" s="68">
        <f ca="1">SUM($B$9:BE9)/BE3</f>
        <v>0.3814174107142857</v>
      </c>
    </row>
    <row r="9" spans="1:101" x14ac:dyDescent="0.3">
      <c r="B9">
        <f t="shared" ref="B9:BE9" ca="1" si="49">BIN2DEC(B1&amp;C1&amp;D1&amp;E1&amp;F1&amp;G1&amp;H1)/128</f>
        <v>0.875</v>
      </c>
      <c r="C9">
        <f t="shared" ca="1" si="49"/>
        <v>0.75</v>
      </c>
      <c r="D9">
        <f t="shared" ca="1" si="49"/>
        <v>0.5078125</v>
      </c>
      <c r="E9">
        <f t="shared" ca="1" si="49"/>
        <v>2.34375E-2</v>
      </c>
      <c r="F9">
        <f t="shared" ca="1" si="49"/>
        <v>5.46875E-2</v>
      </c>
      <c r="G9">
        <f t="shared" ca="1" si="49"/>
        <v>0.1171875</v>
      </c>
      <c r="H9">
        <f t="shared" ca="1" si="49"/>
        <v>0.2421875</v>
      </c>
      <c r="I9">
        <f t="shared" ca="1" si="49"/>
        <v>0.4921875</v>
      </c>
      <c r="J9">
        <f t="shared" ca="1" si="49"/>
        <v>0.9921875</v>
      </c>
      <c r="K9">
        <f t="shared" ca="1" si="49"/>
        <v>0.9921875</v>
      </c>
      <c r="L9">
        <f t="shared" ca="1" si="49"/>
        <v>0.984375</v>
      </c>
      <c r="M9">
        <f t="shared" ca="1" si="49"/>
        <v>0.9765625</v>
      </c>
      <c r="N9">
        <f t="shared" ca="1" si="49"/>
        <v>0.953125</v>
      </c>
      <c r="O9">
        <f t="shared" ca="1" si="49"/>
        <v>0.90625</v>
      </c>
      <c r="P9">
        <f t="shared" ca="1" si="49"/>
        <v>0.8203125</v>
      </c>
      <c r="Q9">
        <f t="shared" ca="1" si="49"/>
        <v>0.6484375</v>
      </c>
      <c r="R9">
        <f t="shared" ca="1" si="49"/>
        <v>0.296875</v>
      </c>
      <c r="S9">
        <f t="shared" ca="1" si="49"/>
        <v>0.59375</v>
      </c>
      <c r="T9">
        <f t="shared" ca="1" si="49"/>
        <v>0.1875</v>
      </c>
      <c r="U9">
        <f t="shared" ca="1" si="49"/>
        <v>0.375</v>
      </c>
      <c r="V9">
        <f t="shared" ca="1" si="49"/>
        <v>0.75</v>
      </c>
      <c r="W9">
        <f t="shared" ca="1" si="49"/>
        <v>0.5</v>
      </c>
      <c r="X9">
        <f t="shared" ca="1" si="49"/>
        <v>0</v>
      </c>
      <c r="Y9">
        <f t="shared" ca="1" si="49"/>
        <v>0</v>
      </c>
      <c r="Z9">
        <f t="shared" ca="1" si="49"/>
        <v>7.8125E-3</v>
      </c>
      <c r="AA9">
        <f t="shared" ca="1" si="49"/>
        <v>2.34375E-2</v>
      </c>
      <c r="AB9">
        <f t="shared" ca="1" si="49"/>
        <v>4.6875E-2</v>
      </c>
      <c r="AC9">
        <f t="shared" ca="1" si="49"/>
        <v>9.375E-2</v>
      </c>
      <c r="AD9">
        <f t="shared" ca="1" si="49"/>
        <v>0.1953125</v>
      </c>
      <c r="AE9">
        <f t="shared" ca="1" si="49"/>
        <v>0.3984375</v>
      </c>
      <c r="AF9">
        <f t="shared" ca="1" si="49"/>
        <v>0.796875</v>
      </c>
      <c r="AG9">
        <f t="shared" ca="1" si="49"/>
        <v>0.59375</v>
      </c>
      <c r="AH9">
        <f t="shared" ca="1" si="49"/>
        <v>0.1875</v>
      </c>
      <c r="AI9">
        <f t="shared" ca="1" si="49"/>
        <v>0.375</v>
      </c>
      <c r="AJ9">
        <f t="shared" ca="1" si="49"/>
        <v>0.75</v>
      </c>
      <c r="AK9">
        <f t="shared" ca="1" si="49"/>
        <v>0.5</v>
      </c>
      <c r="AL9">
        <f t="shared" ca="1" si="49"/>
        <v>0</v>
      </c>
      <c r="AM9">
        <f t="shared" ca="1" si="49"/>
        <v>0</v>
      </c>
      <c r="AN9">
        <f t="shared" ca="1" si="49"/>
        <v>0</v>
      </c>
      <c r="AO9">
        <f t="shared" ca="1" si="49"/>
        <v>0</v>
      </c>
      <c r="AP9">
        <f t="shared" ca="1" si="49"/>
        <v>7.8125E-3</v>
      </c>
      <c r="AQ9">
        <f t="shared" ca="1" si="49"/>
        <v>1.5625E-2</v>
      </c>
      <c r="AR9">
        <f t="shared" ca="1" si="49"/>
        <v>3.125E-2</v>
      </c>
      <c r="AS9">
        <f t="shared" ca="1" si="49"/>
        <v>6.25E-2</v>
      </c>
      <c r="AT9">
        <f t="shared" ca="1" si="49"/>
        <v>0.125</v>
      </c>
      <c r="AU9">
        <f t="shared" ca="1" si="49"/>
        <v>0.2578125</v>
      </c>
      <c r="AV9">
        <f t="shared" ca="1" si="49"/>
        <v>0.515625</v>
      </c>
      <c r="AW9">
        <f t="shared" ca="1" si="49"/>
        <v>3.90625E-2</v>
      </c>
      <c r="AX9">
        <f t="shared" ca="1" si="49"/>
        <v>7.8125E-2</v>
      </c>
      <c r="AY9">
        <f t="shared" ca="1" si="49"/>
        <v>0.1640625</v>
      </c>
      <c r="AZ9">
        <f t="shared" ca="1" si="49"/>
        <v>0.328125</v>
      </c>
      <c r="BA9">
        <f t="shared" ca="1" si="49"/>
        <v>0.6640625</v>
      </c>
      <c r="BB9">
        <f t="shared" ca="1" si="49"/>
        <v>0.3359375</v>
      </c>
      <c r="BC9">
        <f t="shared" ca="1" si="49"/>
        <v>0.671875</v>
      </c>
      <c r="BD9">
        <f t="shared" ca="1" si="49"/>
        <v>0.3515625</v>
      </c>
      <c r="BE9">
        <f t="shared" ca="1" si="49"/>
        <v>0.703125</v>
      </c>
    </row>
    <row r="10" spans="1:101" x14ac:dyDescent="0.3">
      <c r="B10">
        <f ca="1">(B9-$A$12)^2</f>
        <v>0.20702500000000001</v>
      </c>
      <c r="C10">
        <f t="shared" ref="C10:BE10" ca="1" si="50">(C9-$A$12)^2</f>
        <v>0.10890000000000001</v>
      </c>
      <c r="D10">
        <f t="shared" ca="1" si="50"/>
        <v>7.7110351562500032E-3</v>
      </c>
      <c r="E10">
        <f t="shared" ca="1" si="50"/>
        <v>0.15726181640624998</v>
      </c>
      <c r="F10">
        <f t="shared" ca="1" si="50"/>
        <v>0.13345322265624998</v>
      </c>
      <c r="G10">
        <f t="shared" ca="1" si="50"/>
        <v>9.169541015624999E-2</v>
      </c>
      <c r="H10">
        <f t="shared" ca="1" si="50"/>
        <v>3.1617285156249994E-2</v>
      </c>
      <c r="I10">
        <f t="shared" ca="1" si="50"/>
        <v>5.2110351562500027E-3</v>
      </c>
      <c r="J10">
        <f t="shared" ca="1" si="50"/>
        <v>0.32739853515625006</v>
      </c>
      <c r="K10">
        <f t="shared" ca="1" si="50"/>
        <v>0.32739853515625006</v>
      </c>
      <c r="L10">
        <f t="shared" ca="1" si="50"/>
        <v>0.31851914062500009</v>
      </c>
      <c r="M10">
        <f t="shared" ca="1" si="50"/>
        <v>0.30976181640625006</v>
      </c>
      <c r="N10">
        <f t="shared" ca="1" si="50"/>
        <v>0.28422226562500008</v>
      </c>
      <c r="O10">
        <f t="shared" ca="1" si="50"/>
        <v>0.23643906250000002</v>
      </c>
      <c r="P10">
        <f t="shared" ca="1" si="50"/>
        <v>0.16025009765625001</v>
      </c>
      <c r="Q10">
        <f t="shared" ca="1" si="50"/>
        <v>5.218369140625001E-2</v>
      </c>
      <c r="R10">
        <f t="shared" ca="1" si="50"/>
        <v>1.5159765624999997E-2</v>
      </c>
      <c r="S10">
        <f t="shared" ca="1" si="50"/>
        <v>3.0189062500000006E-2</v>
      </c>
      <c r="T10">
        <f t="shared" ca="1" si="50"/>
        <v>5.4056249999999993E-2</v>
      </c>
      <c r="U10">
        <f t="shared" ca="1" si="50"/>
        <v>2.0249999999999986E-3</v>
      </c>
      <c r="V10">
        <f t="shared" ca="1" si="50"/>
        <v>0.10890000000000001</v>
      </c>
      <c r="W10">
        <f t="shared" ca="1" si="50"/>
        <v>6.4000000000000029E-3</v>
      </c>
      <c r="X10">
        <f t="shared" ca="1" si="50"/>
        <v>0.17639999999999997</v>
      </c>
      <c r="Y10">
        <f t="shared" ca="1" si="50"/>
        <v>0.17639999999999997</v>
      </c>
      <c r="Z10">
        <f t="shared" ca="1" si="50"/>
        <v>0.16989853515624997</v>
      </c>
      <c r="AA10">
        <f t="shared" ca="1" si="50"/>
        <v>0.15726181640624998</v>
      </c>
      <c r="AB10">
        <f t="shared" ca="1" si="50"/>
        <v>0.13922226562499998</v>
      </c>
      <c r="AC10">
        <f t="shared" ca="1" si="50"/>
        <v>0.10643906249999999</v>
      </c>
      <c r="AD10">
        <f t="shared" ca="1" si="50"/>
        <v>5.0484472656249994E-2</v>
      </c>
      <c r="AE10">
        <f t="shared" ca="1" si="50"/>
        <v>4.6494140624999932E-4</v>
      </c>
      <c r="AF10">
        <f t="shared" ca="1" si="50"/>
        <v>0.142034765625</v>
      </c>
      <c r="AG10">
        <f t="shared" ca="1" si="50"/>
        <v>3.0189062500000006E-2</v>
      </c>
      <c r="AH10">
        <f t="shared" ca="1" si="50"/>
        <v>5.4056249999999993E-2</v>
      </c>
      <c r="AI10">
        <f t="shared" ca="1" si="50"/>
        <v>2.0249999999999986E-3</v>
      </c>
      <c r="AJ10">
        <f t="shared" ca="1" si="50"/>
        <v>0.10890000000000001</v>
      </c>
      <c r="AK10">
        <f t="shared" ca="1" si="50"/>
        <v>6.4000000000000029E-3</v>
      </c>
      <c r="AL10">
        <f t="shared" ca="1" si="50"/>
        <v>0.17639999999999997</v>
      </c>
      <c r="AM10">
        <f t="shared" ca="1" si="50"/>
        <v>0.17639999999999997</v>
      </c>
      <c r="AN10">
        <f t="shared" ca="1" si="50"/>
        <v>0.17639999999999997</v>
      </c>
      <c r="AO10">
        <f t="shared" ca="1" si="50"/>
        <v>0.17639999999999997</v>
      </c>
      <c r="AP10">
        <f t="shared" ca="1" si="50"/>
        <v>0.16989853515624997</v>
      </c>
      <c r="AQ10">
        <f t="shared" ca="1" si="50"/>
        <v>0.16351914062499998</v>
      </c>
      <c r="AR10">
        <f t="shared" ca="1" si="50"/>
        <v>0.15112656249999998</v>
      </c>
      <c r="AS10">
        <f t="shared" ca="1" si="50"/>
        <v>0.12780624999999998</v>
      </c>
      <c r="AT10">
        <f t="shared" ca="1" si="50"/>
        <v>8.7024999999999991E-2</v>
      </c>
      <c r="AU10">
        <f t="shared" ca="1" si="50"/>
        <v>2.6304785156249996E-2</v>
      </c>
      <c r="AV10">
        <f t="shared" ca="1" si="50"/>
        <v>9.1441406250000034E-3</v>
      </c>
      <c r="AW10">
        <f t="shared" ca="1" si="50"/>
        <v>0.14511337890624998</v>
      </c>
      <c r="AX10">
        <f t="shared" ca="1" si="50"/>
        <v>0.11687851562499998</v>
      </c>
      <c r="AY10">
        <f t="shared" ca="1" si="50"/>
        <v>6.5504003906249997E-2</v>
      </c>
      <c r="AZ10">
        <f t="shared" ca="1" si="50"/>
        <v>8.4410156249999976E-3</v>
      </c>
      <c r="BA10">
        <f t="shared" ca="1" si="50"/>
        <v>5.9566503906250005E-2</v>
      </c>
      <c r="BB10">
        <f t="shared" ca="1" si="50"/>
        <v>7.0665039062499978E-3</v>
      </c>
      <c r="BC10">
        <f t="shared" ca="1" si="50"/>
        <v>6.3441015625000013E-2</v>
      </c>
      <c r="BD10">
        <f t="shared" ca="1" si="50"/>
        <v>4.6836914062499983E-3</v>
      </c>
      <c r="BE10">
        <f t="shared" ca="1" si="50"/>
        <v>8.0159765625000004E-2</v>
      </c>
    </row>
    <row r="11" spans="1:101" x14ac:dyDescent="0.3">
      <c r="AA11">
        <v>62</v>
      </c>
    </row>
    <row r="12" spans="1:101" x14ac:dyDescent="0.3">
      <c r="A12">
        <f ca="1">B7</f>
        <v>0.42</v>
      </c>
      <c r="AA12">
        <v>26</v>
      </c>
    </row>
    <row r="13" spans="1:101" x14ac:dyDescent="0.3">
      <c r="A13">
        <f ca="1">SQRT(SUM(B10:BE10)/(100-1))</f>
        <v>0.25200675411448437</v>
      </c>
      <c r="C13">
        <v>84</v>
      </c>
      <c r="D13">
        <v>48</v>
      </c>
      <c r="AA13">
        <v>48</v>
      </c>
    </row>
    <row r="14" spans="1:101" x14ac:dyDescent="0.3">
      <c r="C14">
        <v>174</v>
      </c>
      <c r="D14">
        <v>43</v>
      </c>
      <c r="AA14">
        <v>64</v>
      </c>
    </row>
    <row r="15" spans="1:101" ht="15" thickBot="1" x14ac:dyDescent="0.35">
      <c r="C15">
        <v>114</v>
      </c>
      <c r="D15">
        <v>47</v>
      </c>
      <c r="AA15">
        <v>22</v>
      </c>
    </row>
    <row r="16" spans="1:101" ht="15.6" thickTop="1" thickBot="1" x14ac:dyDescent="0.35">
      <c r="C16">
        <v>280</v>
      </c>
      <c r="D16">
        <v>46</v>
      </c>
      <c r="L16" s="104"/>
      <c r="M16" s="104"/>
      <c r="N16" s="104"/>
      <c r="O16" s="104"/>
      <c r="P16" s="104"/>
      <c r="Q16" s="104"/>
      <c r="AA16">
        <v>26</v>
      </c>
    </row>
    <row r="17" spans="3:27" ht="15.6" thickTop="1" thickBot="1" x14ac:dyDescent="0.35">
      <c r="C17">
        <v>78</v>
      </c>
      <c r="D17">
        <v>49</v>
      </c>
      <c r="L17" s="104"/>
      <c r="M17" s="104"/>
      <c r="N17" s="104"/>
      <c r="O17" s="104"/>
      <c r="P17" s="104"/>
      <c r="Q17" s="104"/>
      <c r="AA17">
        <v>26</v>
      </c>
    </row>
    <row r="18" spans="3:27" ht="15.6" thickTop="1" thickBot="1" x14ac:dyDescent="0.35">
      <c r="C18">
        <v>96</v>
      </c>
      <c r="D18">
        <v>48</v>
      </c>
      <c r="L18" s="104"/>
      <c r="M18" s="104"/>
      <c r="N18" s="104"/>
      <c r="O18" s="107"/>
      <c r="P18" s="107"/>
      <c r="Q18" s="104"/>
      <c r="AA18">
        <v>54</v>
      </c>
    </row>
    <row r="19" spans="3:27" ht="15.6" thickTop="1" thickBot="1" x14ac:dyDescent="0.35">
      <c r="C19">
        <v>112</v>
      </c>
      <c r="D19">
        <v>46</v>
      </c>
      <c r="L19" s="104"/>
      <c r="M19" s="104"/>
      <c r="N19" s="105"/>
      <c r="O19" s="7"/>
      <c r="P19" s="109"/>
      <c r="Q19" s="106"/>
      <c r="AA19">
        <v>62</v>
      </c>
    </row>
    <row r="20" spans="3:27" ht="15.6" thickTop="1" thickBot="1" x14ac:dyDescent="0.35">
      <c r="C20">
        <v>108</v>
      </c>
      <c r="D20">
        <v>44</v>
      </c>
      <c r="L20" s="104"/>
      <c r="M20" s="104"/>
      <c r="N20" s="105"/>
      <c r="P20" s="110"/>
      <c r="Q20" s="106"/>
      <c r="AA20">
        <v>40</v>
      </c>
    </row>
    <row r="21" spans="3:27" ht="15.6" thickTop="1" thickBot="1" x14ac:dyDescent="0.35">
      <c r="C21">
        <v>126</v>
      </c>
      <c r="D21">
        <v>46</v>
      </c>
      <c r="L21" s="104"/>
      <c r="M21" s="104"/>
      <c r="N21" s="105"/>
      <c r="O21" s="8"/>
      <c r="P21" s="108"/>
      <c r="Q21" s="104"/>
      <c r="AA21">
        <v>46</v>
      </c>
    </row>
    <row r="22" spans="3:27" ht="15" thickTop="1" x14ac:dyDescent="0.3">
      <c r="C22">
        <v>182</v>
      </c>
      <c r="D22">
        <v>50</v>
      </c>
      <c r="AA22">
        <v>56</v>
      </c>
    </row>
    <row r="23" spans="3:27" x14ac:dyDescent="0.3">
      <c r="C23">
        <v>130</v>
      </c>
      <c r="D23">
        <v>47</v>
      </c>
      <c r="AA23">
        <v>52</v>
      </c>
    </row>
    <row r="24" spans="3:27" x14ac:dyDescent="0.3">
      <c r="C24">
        <v>68</v>
      </c>
      <c r="D24">
        <v>50</v>
      </c>
      <c r="AA24">
        <v>128</v>
      </c>
    </row>
    <row r="25" spans="3:27" x14ac:dyDescent="0.3">
      <c r="C25">
        <v>52</v>
      </c>
      <c r="D25">
        <v>48</v>
      </c>
      <c r="AA25">
        <v>56</v>
      </c>
    </row>
    <row r="26" spans="3:27" x14ac:dyDescent="0.3">
      <c r="C26">
        <v>74</v>
      </c>
      <c r="D26">
        <v>41</v>
      </c>
      <c r="AA26">
        <v>110</v>
      </c>
    </row>
    <row r="27" spans="3:27" x14ac:dyDescent="0.3">
      <c r="C27">
        <v>448</v>
      </c>
      <c r="D27">
        <v>49</v>
      </c>
      <c r="AA27">
        <v>46</v>
      </c>
    </row>
    <row r="28" spans="3:27" x14ac:dyDescent="0.3">
      <c r="F28">
        <f>60*60</f>
        <v>3600</v>
      </c>
    </row>
    <row r="29" spans="3:27" x14ac:dyDescent="0.3">
      <c r="F29">
        <f>F28-45*45</f>
        <v>1575</v>
      </c>
    </row>
    <row r="30" spans="3:27" x14ac:dyDescent="0.3">
      <c r="F30">
        <f>F29/F28</f>
        <v>0.4375</v>
      </c>
      <c r="G30">
        <f>AVERAGE(D13:D27)/100</f>
        <v>0.46799999999999997</v>
      </c>
      <c r="H30">
        <f>F30/G30</f>
        <v>0.93482905982905984</v>
      </c>
      <c r="I30">
        <f>G30/F30</f>
        <v>1.0697142857142856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257C-1C2F-4A6F-9E83-5EB3ECC4CE53}">
  <dimension ref="A1:AJ19"/>
  <sheetViews>
    <sheetView zoomScale="55" zoomScaleNormal="55" workbookViewId="0">
      <selection activeCell="T61" sqref="T61"/>
    </sheetView>
  </sheetViews>
  <sheetFormatPr defaultRowHeight="14.4" x14ac:dyDescent="0.3"/>
  <cols>
    <col min="1" max="13" width="10.21875" customWidth="1"/>
  </cols>
  <sheetData>
    <row r="1" spans="1:36" x14ac:dyDescent="0.3">
      <c r="A1" t="s">
        <v>37</v>
      </c>
      <c r="B1">
        <v>0</v>
      </c>
      <c r="C1">
        <f>B1+$N$12</f>
        <v>0.5</v>
      </c>
      <c r="D1">
        <f t="shared" ref="D1:R1" si="0">C1+$N$12</f>
        <v>1</v>
      </c>
      <c r="E1">
        <f t="shared" si="0"/>
        <v>1.5</v>
      </c>
      <c r="F1">
        <f t="shared" si="0"/>
        <v>2</v>
      </c>
      <c r="G1">
        <f t="shared" si="0"/>
        <v>2.5</v>
      </c>
      <c r="H1">
        <f t="shared" si="0"/>
        <v>3</v>
      </c>
      <c r="I1">
        <f t="shared" si="0"/>
        <v>3.5</v>
      </c>
      <c r="J1">
        <f t="shared" si="0"/>
        <v>4</v>
      </c>
      <c r="K1">
        <f t="shared" si="0"/>
        <v>4.5</v>
      </c>
      <c r="L1">
        <f t="shared" si="0"/>
        <v>5</v>
      </c>
      <c r="M1">
        <f t="shared" si="0"/>
        <v>5.5</v>
      </c>
      <c r="N1">
        <f t="shared" si="0"/>
        <v>6</v>
      </c>
      <c r="O1">
        <f t="shared" si="0"/>
        <v>6.5</v>
      </c>
      <c r="P1">
        <f t="shared" si="0"/>
        <v>7</v>
      </c>
      <c r="Q1">
        <f t="shared" si="0"/>
        <v>7.5</v>
      </c>
      <c r="R1">
        <f t="shared" si="0"/>
        <v>8</v>
      </c>
      <c r="S1">
        <f t="shared" ref="S1:T1" si="1">R1+$N$12</f>
        <v>8.5</v>
      </c>
      <c r="T1">
        <f t="shared" si="1"/>
        <v>9</v>
      </c>
      <c r="U1">
        <f t="shared" ref="U1:AJ1" si="2">T1+$N$12</f>
        <v>9.5</v>
      </c>
      <c r="V1">
        <f t="shared" si="2"/>
        <v>10</v>
      </c>
      <c r="W1">
        <f t="shared" si="2"/>
        <v>10.5</v>
      </c>
      <c r="X1">
        <f t="shared" si="2"/>
        <v>11</v>
      </c>
      <c r="Y1">
        <f t="shared" si="2"/>
        <v>11.5</v>
      </c>
      <c r="Z1">
        <f t="shared" si="2"/>
        <v>12</v>
      </c>
      <c r="AA1">
        <f t="shared" si="2"/>
        <v>12.5</v>
      </c>
      <c r="AB1">
        <f t="shared" si="2"/>
        <v>13</v>
      </c>
      <c r="AC1">
        <f t="shared" si="2"/>
        <v>13.5</v>
      </c>
      <c r="AD1">
        <f t="shared" si="2"/>
        <v>14</v>
      </c>
      <c r="AE1">
        <f t="shared" si="2"/>
        <v>14.5</v>
      </c>
      <c r="AF1">
        <f t="shared" si="2"/>
        <v>15</v>
      </c>
      <c r="AG1">
        <f t="shared" si="2"/>
        <v>15.5</v>
      </c>
      <c r="AH1">
        <f t="shared" si="2"/>
        <v>16</v>
      </c>
      <c r="AI1">
        <f t="shared" si="2"/>
        <v>16.5</v>
      </c>
      <c r="AJ1">
        <f t="shared" si="2"/>
        <v>17</v>
      </c>
    </row>
    <row r="2" spans="1:36" x14ac:dyDescent="0.3">
      <c r="A2" t="s">
        <v>114</v>
      </c>
      <c r="B2">
        <v>60</v>
      </c>
      <c r="C2">
        <f>B2+($A$12*(B3-B2)+$B$12*(B4-B2)+$C$12*(B5-B2)+$D$12*(B8-B2))*$N$12</f>
        <v>69.5</v>
      </c>
      <c r="D2">
        <f t="shared" ref="D2:R2" si="3">C2+($A$12*(C3-C2)+$B$12*(C4-C2)+$C$12*(C5-C2)+$D$12*(C8-C2))*$N$12</f>
        <v>82.474999999999994</v>
      </c>
      <c r="E2">
        <f t="shared" si="3"/>
        <v>93.413749999999993</v>
      </c>
      <c r="F2">
        <f t="shared" si="3"/>
        <v>102.42443750000001</v>
      </c>
      <c r="G2">
        <f t="shared" si="3"/>
        <v>110.06984687500001</v>
      </c>
      <c r="H2">
        <f t="shared" si="3"/>
        <v>116.73000296875001</v>
      </c>
      <c r="I2">
        <f t="shared" si="3"/>
        <v>122.62567233593751</v>
      </c>
      <c r="J2">
        <f t="shared" si="3"/>
        <v>127.88802264023438</v>
      </c>
      <c r="K2">
        <f t="shared" si="3"/>
        <v>132.60223463341796</v>
      </c>
      <c r="L2">
        <f t="shared" si="3"/>
        <v>136.83011458958106</v>
      </c>
      <c r="M2">
        <f t="shared" si="3"/>
        <v>140.62114750221147</v>
      </c>
      <c r="N2">
        <f t="shared" si="3"/>
        <v>144.01776093406767</v>
      </c>
      <c r="O2">
        <f t="shared" si="3"/>
        <v>147.05779226736865</v>
      </c>
      <c r="P2">
        <f t="shared" si="3"/>
        <v>149.7756371984413</v>
      </c>
      <c r="Q2">
        <f t="shared" si="3"/>
        <v>152.20279430313127</v>
      </c>
      <c r="R2">
        <f t="shared" si="3"/>
        <v>154.36814565145156</v>
      </c>
      <c r="S2">
        <f t="shared" ref="S2:T2" si="4">R2+($A$12*(R3-R2)+$B$12*(R4-R2)+$C$12*(R5-R2)+$D$12*(R8-R2))*$N$12</f>
        <v>156.29813126321073</v>
      </c>
      <c r="T2">
        <f t="shared" si="4"/>
        <v>158.01688754925931</v>
      </c>
      <c r="U2">
        <f t="shared" ref="U2:AJ2" si="5">T2+($A$12*(T3-T2)+$B$12*(T4-T2)+$C$12*(T5-T2)+$D$12*(T8-T2))*$N$12</f>
        <v>159.54637841673153</v>
      </c>
      <c r="V2">
        <f t="shared" si="5"/>
        <v>160.90652868668946</v>
      </c>
      <c r="W2">
        <f t="shared" si="5"/>
        <v>162.11536122971484</v>
      </c>
      <c r="X2">
        <f t="shared" si="5"/>
        <v>163.18913606707915</v>
      </c>
      <c r="Y2">
        <f t="shared" si="5"/>
        <v>164.14248883788051</v>
      </c>
      <c r="Z2">
        <f t="shared" si="5"/>
        <v>164.98856616276049</v>
      </c>
      <c r="AA2">
        <f t="shared" si="5"/>
        <v>165.7391559162939</v>
      </c>
      <c r="AB2">
        <f t="shared" si="5"/>
        <v>166.40481097094093</v>
      </c>
      <c r="AC2">
        <f t="shared" si="5"/>
        <v>166.9949654789032</v>
      </c>
      <c r="AD2">
        <f t="shared" si="5"/>
        <v>167.51804317500654</v>
      </c>
      <c r="AE2">
        <f t="shared" si="5"/>
        <v>167.98155750903848</v>
      </c>
      <c r="AF2">
        <f t="shared" si="5"/>
        <v>168.39220365896648</v>
      </c>
      <c r="AG2">
        <f t="shared" si="5"/>
        <v>168.75594265074562</v>
      </c>
      <c r="AH2">
        <f t="shared" si="5"/>
        <v>169.07807792975785</v>
      </c>
      <c r="AI2">
        <f t="shared" si="5"/>
        <v>169.36332480558076</v>
      </c>
      <c r="AJ2">
        <f t="shared" si="5"/>
        <v>169.61587323603561</v>
      </c>
    </row>
    <row r="3" spans="1:36" x14ac:dyDescent="0.3">
      <c r="A3" t="s">
        <v>115</v>
      </c>
      <c r="B3">
        <v>50</v>
      </c>
      <c r="C3">
        <f>B3+($B$12*(B2-B3)+$E$12*(B4-B3)+$F$12*(B6-B3)+$G$12*(B9))*$N$12</f>
        <v>103</v>
      </c>
      <c r="D3">
        <f t="shared" ref="D3:R3" si="6">C3+($B$12*(C2-C3)+$E$12*(C4-C3)+$F$12*(C6-C3)+$G$12*(C9))*$N$12</f>
        <v>133.72499999999999</v>
      </c>
      <c r="E3">
        <f t="shared" si="6"/>
        <v>155.49</v>
      </c>
      <c r="F3">
        <f t="shared" si="6"/>
        <v>172.2480625</v>
      </c>
      <c r="G3">
        <f t="shared" si="6"/>
        <v>185.64833125000001</v>
      </c>
      <c r="H3">
        <f t="shared" si="6"/>
        <v>196.58848953124999</v>
      </c>
      <c r="I3">
        <f t="shared" si="6"/>
        <v>205.63832574999998</v>
      </c>
      <c r="J3">
        <f t="shared" si="6"/>
        <v>213.19246923789061</v>
      </c>
      <c r="K3">
        <f t="shared" si="6"/>
        <v>219.53995075316405</v>
      </c>
      <c r="L3">
        <f t="shared" si="6"/>
        <v>224.90083705565331</v>
      </c>
      <c r="M3">
        <f t="shared" si="6"/>
        <v>229.44734290081132</v>
      </c>
      <c r="N3">
        <f t="shared" si="6"/>
        <v>233.31685981758523</v>
      </c>
      <c r="O3">
        <f t="shared" si="6"/>
        <v>236.62049664060916</v>
      </c>
      <c r="P3">
        <f t="shared" si="6"/>
        <v>239.4489868031763</v>
      </c>
      <c r="Q3">
        <f t="shared" si="6"/>
        <v>241.87696287353384</v>
      </c>
      <c r="R3">
        <f t="shared" si="6"/>
        <v>243.96616108840257</v>
      </c>
      <c r="S3">
        <f t="shared" ref="S3:T3" si="7">R3+($B$12*(R2-R3)+$E$12*(R4-R3)+$F$12*(R6-R3)+$G$12*(R9))*$N$12</f>
        <v>245.76788763986823</v>
      </c>
      <c r="T3">
        <f t="shared" si="7"/>
        <v>247.32495277202892</v>
      </c>
      <c r="U3">
        <f t="shared" ref="U3:AJ3" si="8">T3+($B$12*(T2-T3)+$E$12*(T4-T3)+$F$12*(T6-T3)+$G$12*(T9))*$N$12</f>
        <v>248.67320774160299</v>
      </c>
      <c r="V3">
        <f t="shared" si="8"/>
        <v>249.84277772952791</v>
      </c>
      <c r="W3">
        <f t="shared" si="8"/>
        <v>250.85905767570324</v>
      </c>
      <c r="X3">
        <f t="shared" si="8"/>
        <v>251.74352087290586</v>
      </c>
      <c r="Y3">
        <f t="shared" si="8"/>
        <v>252.51437834097908</v>
      </c>
      <c r="Z3">
        <f t="shared" si="8"/>
        <v>253.18711850698801</v>
      </c>
      <c r="AA3">
        <f t="shared" si="8"/>
        <v>253.77495040428855</v>
      </c>
      <c r="AB3">
        <f t="shared" si="8"/>
        <v>254.28916879757401</v>
      </c>
      <c r="AC3">
        <f t="shared" si="8"/>
        <v>254.73945591906866</v>
      </c>
      <c r="AD3">
        <f t="shared" si="8"/>
        <v>255.13413158432311</v>
      </c>
      <c r="AE3">
        <f t="shared" si="8"/>
        <v>255.48036115166613</v>
      </c>
      <c r="AF3">
        <f t="shared" si="8"/>
        <v>255.78432895837361</v>
      </c>
      <c r="AG3">
        <f t="shared" si="8"/>
        <v>256.05138340580839</v>
      </c>
      <c r="AH3">
        <f t="shared" si="8"/>
        <v>256.28615869669704</v>
      </c>
      <c r="AI3">
        <f t="shared" si="8"/>
        <v>256.49267728973115</v>
      </c>
      <c r="AJ3">
        <f t="shared" si="8"/>
        <v>256.67443638247715</v>
      </c>
    </row>
    <row r="4" spans="1:36" x14ac:dyDescent="0.3">
      <c r="A4" t="s">
        <v>116</v>
      </c>
      <c r="B4">
        <v>20</v>
      </c>
      <c r="C4">
        <f>B4+(0)*$N$12</f>
        <v>20</v>
      </c>
      <c r="D4">
        <f t="shared" ref="D4:R4" si="9">C4+(0)*$N$12</f>
        <v>20</v>
      </c>
      <c r="E4">
        <f t="shared" si="9"/>
        <v>20</v>
      </c>
      <c r="F4">
        <f t="shared" si="9"/>
        <v>20</v>
      </c>
      <c r="G4">
        <f t="shared" si="9"/>
        <v>20</v>
      </c>
      <c r="H4">
        <f t="shared" si="9"/>
        <v>20</v>
      </c>
      <c r="I4">
        <f t="shared" si="9"/>
        <v>20</v>
      </c>
      <c r="J4">
        <f t="shared" si="9"/>
        <v>20</v>
      </c>
      <c r="K4">
        <f t="shared" si="9"/>
        <v>20</v>
      </c>
      <c r="L4">
        <f t="shared" si="9"/>
        <v>20</v>
      </c>
      <c r="M4">
        <f t="shared" si="9"/>
        <v>20</v>
      </c>
      <c r="N4">
        <f t="shared" si="9"/>
        <v>20</v>
      </c>
      <c r="O4">
        <f t="shared" si="9"/>
        <v>20</v>
      </c>
      <c r="P4">
        <f t="shared" si="9"/>
        <v>20</v>
      </c>
      <c r="Q4">
        <f t="shared" si="9"/>
        <v>20</v>
      </c>
      <c r="R4">
        <f t="shared" si="9"/>
        <v>20</v>
      </c>
      <c r="S4">
        <f t="shared" ref="S4:T4" si="10">R4+(0)*$N$12</f>
        <v>20</v>
      </c>
      <c r="T4">
        <f t="shared" si="10"/>
        <v>20</v>
      </c>
      <c r="U4">
        <f t="shared" ref="U4:AJ4" si="11">T4+(0)*$N$12</f>
        <v>20</v>
      </c>
      <c r="V4">
        <f t="shared" si="11"/>
        <v>20</v>
      </c>
      <c r="W4">
        <f t="shared" si="11"/>
        <v>20</v>
      </c>
      <c r="X4">
        <f t="shared" si="11"/>
        <v>20</v>
      </c>
      <c r="Y4">
        <f t="shared" si="11"/>
        <v>20</v>
      </c>
      <c r="Z4">
        <f t="shared" si="11"/>
        <v>20</v>
      </c>
      <c r="AA4">
        <f t="shared" si="11"/>
        <v>20</v>
      </c>
      <c r="AB4">
        <f t="shared" si="11"/>
        <v>20</v>
      </c>
      <c r="AC4">
        <f t="shared" si="11"/>
        <v>20</v>
      </c>
      <c r="AD4">
        <f t="shared" si="11"/>
        <v>20</v>
      </c>
      <c r="AE4">
        <f t="shared" si="11"/>
        <v>20</v>
      </c>
      <c r="AF4">
        <f t="shared" si="11"/>
        <v>20</v>
      </c>
      <c r="AG4">
        <f t="shared" si="11"/>
        <v>20</v>
      </c>
      <c r="AH4">
        <f t="shared" si="11"/>
        <v>20</v>
      </c>
      <c r="AI4">
        <f t="shared" si="11"/>
        <v>20</v>
      </c>
      <c r="AJ4">
        <f t="shared" si="11"/>
        <v>20</v>
      </c>
    </row>
    <row r="5" spans="1:36" x14ac:dyDescent="0.3">
      <c r="A5" t="s">
        <v>117</v>
      </c>
      <c r="B5">
        <v>10</v>
      </c>
      <c r="C5">
        <f>B5+(0)*$N$12</f>
        <v>10</v>
      </c>
      <c r="D5">
        <f t="shared" ref="D5:R5" si="12">C5+(0)*$N$12</f>
        <v>10</v>
      </c>
      <c r="E5">
        <f t="shared" si="12"/>
        <v>10</v>
      </c>
      <c r="F5">
        <f t="shared" si="12"/>
        <v>10</v>
      </c>
      <c r="G5">
        <f t="shared" si="12"/>
        <v>10</v>
      </c>
      <c r="H5">
        <f t="shared" si="12"/>
        <v>10</v>
      </c>
      <c r="I5">
        <f t="shared" si="12"/>
        <v>10</v>
      </c>
      <c r="J5">
        <f t="shared" si="12"/>
        <v>10</v>
      </c>
      <c r="K5">
        <f t="shared" si="12"/>
        <v>10</v>
      </c>
      <c r="L5">
        <f t="shared" si="12"/>
        <v>10</v>
      </c>
      <c r="M5">
        <f t="shared" si="12"/>
        <v>10</v>
      </c>
      <c r="N5">
        <f t="shared" si="12"/>
        <v>10</v>
      </c>
      <c r="O5">
        <f t="shared" si="12"/>
        <v>10</v>
      </c>
      <c r="P5">
        <f t="shared" si="12"/>
        <v>10</v>
      </c>
      <c r="Q5">
        <f t="shared" si="12"/>
        <v>10</v>
      </c>
      <c r="R5">
        <f t="shared" si="12"/>
        <v>10</v>
      </c>
      <c r="S5">
        <f t="shared" ref="S5:T5" si="13">R5+(0)*$N$12</f>
        <v>10</v>
      </c>
      <c r="T5">
        <f t="shared" si="13"/>
        <v>10</v>
      </c>
      <c r="U5">
        <f t="shared" ref="U5:AJ5" si="14">T5+(0)*$N$12</f>
        <v>10</v>
      </c>
      <c r="V5">
        <f t="shared" si="14"/>
        <v>10</v>
      </c>
      <c r="W5">
        <f t="shared" si="14"/>
        <v>10</v>
      </c>
      <c r="X5">
        <f t="shared" si="14"/>
        <v>10</v>
      </c>
      <c r="Y5">
        <f t="shared" si="14"/>
        <v>10</v>
      </c>
      <c r="Z5">
        <f t="shared" si="14"/>
        <v>10</v>
      </c>
      <c r="AA5">
        <f t="shared" si="14"/>
        <v>10</v>
      </c>
      <c r="AB5">
        <f t="shared" si="14"/>
        <v>10</v>
      </c>
      <c r="AC5">
        <f t="shared" si="14"/>
        <v>10</v>
      </c>
      <c r="AD5">
        <f t="shared" si="14"/>
        <v>10</v>
      </c>
      <c r="AE5">
        <f t="shared" si="14"/>
        <v>10</v>
      </c>
      <c r="AF5">
        <f t="shared" si="14"/>
        <v>10</v>
      </c>
      <c r="AG5">
        <f t="shared" si="14"/>
        <v>10</v>
      </c>
      <c r="AH5">
        <f t="shared" si="14"/>
        <v>10</v>
      </c>
      <c r="AI5">
        <f t="shared" si="14"/>
        <v>10</v>
      </c>
      <c r="AJ5">
        <f t="shared" si="14"/>
        <v>10</v>
      </c>
    </row>
    <row r="6" spans="1:36" x14ac:dyDescent="0.3">
      <c r="A6" t="s">
        <v>13</v>
      </c>
      <c r="B6">
        <v>30</v>
      </c>
      <c r="C6">
        <f>B6+($F$12*(B3-B6)+$H$12*(B4-B6)+$I$12*(B7-B6))*$N$12</f>
        <v>32.5</v>
      </c>
      <c r="D6">
        <f t="shared" ref="D6:R6" si="15">C6+($F$12*(C3-C6)+$H$12*(C4-C6)+$I$12*(C7-C6))*$N$12</f>
        <v>46.774999999999999</v>
      </c>
      <c r="E6">
        <f t="shared" si="15"/>
        <v>61.548749999999998</v>
      </c>
      <c r="F6">
        <f t="shared" si="15"/>
        <v>74.677812500000002</v>
      </c>
      <c r="G6">
        <f t="shared" si="15"/>
        <v>85.899690625000005</v>
      </c>
      <c r="H6">
        <f t="shared" si="15"/>
        <v>95.366624843750003</v>
      </c>
      <c r="I6">
        <f t="shared" si="15"/>
        <v>103.3152913671875</v>
      </c>
      <c r="J6">
        <f t="shared" si="15"/>
        <v>109.98116163320312</v>
      </c>
      <c r="K6">
        <f t="shared" si="15"/>
        <v>115.57456271228514</v>
      </c>
      <c r="L6">
        <f t="shared" si="15"/>
        <v>120.27548424497557</v>
      </c>
      <c r="M6">
        <f t="shared" si="15"/>
        <v>124.23482588767143</v>
      </c>
      <c r="N6">
        <f t="shared" si="15"/>
        <v>127.57779059012213</v>
      </c>
      <c r="O6">
        <f t="shared" si="15"/>
        <v>130.4077376964176</v>
      </c>
      <c r="P6">
        <f t="shared" si="15"/>
        <v>132.80982564777094</v>
      </c>
      <c r="Q6">
        <f t="shared" si="15"/>
        <v>134.85420831058337</v>
      </c>
      <c r="R6">
        <f t="shared" si="15"/>
        <v>136.5987379044067</v>
      </c>
      <c r="S6">
        <f t="shared" ref="S6:T6" si="16">R6+($F$12*(R3-R6)+$H$12*(R4-R6)+$I$12*(R7-R6))*$N$12</f>
        <v>138.09120577512132</v>
      </c>
      <c r="T6">
        <f t="shared" si="16"/>
        <v>139.37117984824468</v>
      </c>
      <c r="U6">
        <f t="shared" ref="U6:AJ6" si="17">T6+($F$12*(T3-T6)+$H$12*(T4-T6)+$I$12*(T7-T6))*$N$12</f>
        <v>140.47150251989243</v>
      </c>
      <c r="V6">
        <f t="shared" si="17"/>
        <v>141.41950822317574</v>
      </c>
      <c r="W6">
        <f t="shared" si="17"/>
        <v>142.23801211319039</v>
      </c>
      <c r="X6">
        <f t="shared" si="17"/>
        <v>142.9461130166917</v>
      </c>
      <c r="Y6">
        <f t="shared" si="17"/>
        <v>143.55984614264591</v>
      </c>
      <c r="Z6">
        <f t="shared" si="17"/>
        <v>144.0927144366764</v>
      </c>
      <c r="AA6">
        <f t="shared" si="17"/>
        <v>144.55612193434365</v>
      </c>
      <c r="AB6">
        <f t="shared" si="17"/>
        <v>144.95972793323548</v>
      </c>
      <c r="AC6">
        <f t="shared" si="17"/>
        <v>145.31173712378015</v>
      </c>
      <c r="AD6">
        <f t="shared" si="17"/>
        <v>145.61913785115104</v>
      </c>
      <c r="AE6">
        <f t="shared" si="17"/>
        <v>145.88789829621356</v>
      </c>
      <c r="AF6">
        <f t="shared" si="17"/>
        <v>146.12312845122497</v>
      </c>
      <c r="AG6">
        <f t="shared" si="17"/>
        <v>146.32921423371144</v>
      </c>
      <c r="AH6">
        <f t="shared" si="17"/>
        <v>146.50992885428789</v>
      </c>
      <c r="AI6">
        <f t="shared" si="17"/>
        <v>146.66852557026775</v>
      </c>
      <c r="AJ6">
        <f t="shared" si="17"/>
        <v>146.80781516781542</v>
      </c>
    </row>
    <row r="7" spans="1:36" x14ac:dyDescent="0.3">
      <c r="A7" t="s">
        <v>8</v>
      </c>
      <c r="B7">
        <v>20</v>
      </c>
      <c r="C7">
        <f>B7+($I$12*(B6-B7)+$J$12*(B4-B7)+$K$12*(B5-B7))*$N$12</f>
        <v>18.5</v>
      </c>
      <c r="D7">
        <f t="shared" ref="D7:R7" si="18">C7+($I$12*(C6-C7)+$J$12*(C4-C7)+$K$12*(C5-C7))*$N$12</f>
        <v>18.2</v>
      </c>
      <c r="E7">
        <f t="shared" si="18"/>
        <v>20.206250000000001</v>
      </c>
      <c r="F7">
        <f t="shared" si="18"/>
        <v>23.325125</v>
      </c>
      <c r="G7">
        <f t="shared" si="18"/>
        <v>26.697978124999999</v>
      </c>
      <c r="H7">
        <f t="shared" si="18"/>
        <v>29.899043750000001</v>
      </c>
      <c r="I7">
        <f t="shared" si="18"/>
        <v>32.759563414062498</v>
      </c>
      <c r="J7">
        <f t="shared" si="18"/>
        <v>35.239097241406249</v>
      </c>
      <c r="K7">
        <f t="shared" si="18"/>
        <v>37.35476800361328</v>
      </c>
      <c r="L7">
        <f t="shared" si="18"/>
        <v>39.145830008468749</v>
      </c>
      <c r="M7">
        <f t="shared" si="18"/>
        <v>40.656946140557274</v>
      </c>
      <c r="N7">
        <f t="shared" si="18"/>
        <v>41.930849646401491</v>
      </c>
      <c r="O7">
        <f t="shared" si="18"/>
        <v>43.005550929398993</v>
      </c>
      <c r="P7">
        <f t="shared" si="18"/>
        <v>43.913658572692185</v>
      </c>
      <c r="Q7">
        <f t="shared" si="18"/>
        <v>44.682620204877125</v>
      </c>
      <c r="R7">
        <f t="shared" si="18"/>
        <v>45.335310338782215</v>
      </c>
      <c r="S7">
        <f t="shared" ref="S7:T7" si="19">R7+($I$12*(R6-R7)+$J$12*(R4-R7)+$K$12*(R5-R7))*$N$12</f>
        <v>45.890700338113</v>
      </c>
      <c r="T7">
        <f t="shared" si="19"/>
        <v>46.364496018419047</v>
      </c>
      <c r="U7">
        <f t="shared" ref="U7:AJ7" si="20">T7+($I$12*(T6-T7)+$J$12*(T4-T7)+$K$12*(T5-T7))*$N$12</f>
        <v>46.769700185525274</v>
      </c>
      <c r="V7">
        <f t="shared" si="20"/>
        <v>47.117090461470241</v>
      </c>
      <c r="W7">
        <f t="shared" si="20"/>
        <v>47.415616941137969</v>
      </c>
      <c r="X7">
        <f t="shared" si="20"/>
        <v>47.672729440490649</v>
      </c>
      <c r="Y7">
        <f t="shared" si="20"/>
        <v>47.894645200724547</v>
      </c>
      <c r="Z7">
        <f t="shared" si="20"/>
        <v>48.086567261722934</v>
      </c>
      <c r="AA7">
        <f t="shared" si="20"/>
        <v>48.252862433276782</v>
      </c>
      <c r="AB7">
        <f t="shared" si="20"/>
        <v>48.397206385126097</v>
      </c>
      <c r="AC7">
        <f t="shared" si="20"/>
        <v>48.522702063292066</v>
      </c>
      <c r="AD7">
        <f t="shared" si="20"/>
        <v>48.631976497048456</v>
      </c>
      <c r="AE7">
        <f t="shared" si="20"/>
        <v>48.727260101344463</v>
      </c>
      <c r="AF7">
        <f t="shared" si="20"/>
        <v>48.810451790037042</v>
      </c>
      <c r="AG7">
        <f t="shared" si="20"/>
        <v>48.883172573200412</v>
      </c>
      <c r="AH7">
        <f t="shared" si="20"/>
        <v>48.946809792996902</v>
      </c>
      <c r="AI7">
        <f t="shared" si="20"/>
        <v>49.002553734991793</v>
      </c>
      <c r="AJ7">
        <f t="shared" si="20"/>
        <v>49.051428016286465</v>
      </c>
    </row>
    <row r="8" spans="1:36" x14ac:dyDescent="0.3">
      <c r="A8" t="s">
        <v>118</v>
      </c>
      <c r="B8">
        <v>150</v>
      </c>
      <c r="C8">
        <f>B8+($D$12*(B2-B8)+$L$12*(B4-B8)+$M$12*(B10))*$N$12</f>
        <v>140.5</v>
      </c>
      <c r="D8">
        <f t="shared" ref="D8:R8" si="21">C8+($D$12*(C2-C8)+$L$12*(C4-C8)+$M$12*(C10))*$N$12</f>
        <v>135.27500000000001</v>
      </c>
      <c r="E8">
        <f t="shared" si="21"/>
        <v>133.95125000000002</v>
      </c>
      <c r="F8">
        <f t="shared" si="21"/>
        <v>135.1461875</v>
      </c>
      <c r="G8">
        <f t="shared" si="21"/>
        <v>137.84452812500001</v>
      </c>
      <c r="H8">
        <f t="shared" si="21"/>
        <v>141.39736546875002</v>
      </c>
      <c r="I8">
        <f t="shared" si="21"/>
        <v>145.39402469531251</v>
      </c>
      <c r="J8">
        <f t="shared" si="21"/>
        <v>149.5706529886719</v>
      </c>
      <c r="K8">
        <f t="shared" si="21"/>
        <v>153.75559426955078</v>
      </c>
      <c r="L8">
        <f t="shared" si="21"/>
        <v>157.83714262884669</v>
      </c>
      <c r="M8">
        <f t="shared" si="21"/>
        <v>161.74387988955124</v>
      </c>
      <c r="N8">
        <f t="shared" si="21"/>
        <v>165.43213941760573</v>
      </c>
      <c r="O8">
        <f t="shared" si="21"/>
        <v>168.87765675001782</v>
      </c>
      <c r="P8">
        <f t="shared" si="21"/>
        <v>172.06980101598708</v>
      </c>
      <c r="Q8">
        <f t="shared" si="21"/>
        <v>175.00747820167857</v>
      </c>
      <c r="R8">
        <f t="shared" si="21"/>
        <v>177.69616751188516</v>
      </c>
      <c r="S8">
        <f t="shared" ref="S8:T8" si="22">R8+($D$12*(R2-R8)+$L$12*(R4-R8)+$M$12*(R10))*$N$12</f>
        <v>180.14575476420418</v>
      </c>
      <c r="T8">
        <f t="shared" si="22"/>
        <v>182.36894232579527</v>
      </c>
      <c r="U8">
        <f t="shared" ref="U8:AJ8" si="23">T8+($D$12*(T2-T8)+$L$12*(T4-T8)+$M$12*(T10))*$N$12</f>
        <v>184.38008425419832</v>
      </c>
      <c r="V8">
        <f t="shared" si="23"/>
        <v>186.19433887399504</v>
      </c>
      <c r="W8">
        <f t="shared" si="23"/>
        <v>187.82705989283417</v>
      </c>
      <c r="X8">
        <f t="shared" si="23"/>
        <v>189.29336716556858</v>
      </c>
      <c r="Y8">
        <f t="shared" si="23"/>
        <v>190.60785258759228</v>
      </c>
      <c r="Z8">
        <f t="shared" si="23"/>
        <v>191.78438720827032</v>
      </c>
      <c r="AA8">
        <f t="shared" si="23"/>
        <v>192.83600363875485</v>
      </c>
      <c r="AB8">
        <f t="shared" si="23"/>
        <v>193.77483391232491</v>
      </c>
      <c r="AC8">
        <f t="shared" si="23"/>
        <v>194.61208762843188</v>
      </c>
      <c r="AD8">
        <f t="shared" si="23"/>
        <v>195.35805881710456</v>
      </c>
      <c r="AE8">
        <f t="shared" si="23"/>
        <v>196.02215274782972</v>
      </c>
      <c r="AF8">
        <f t="shared" si="23"/>
        <v>196.61292606267997</v>
      </c>
      <c r="AG8">
        <f t="shared" si="23"/>
        <v>197.13813527880328</v>
      </c>
      <c r="AH8">
        <f t="shared" si="23"/>
        <v>197.60478998925157</v>
      </c>
      <c r="AI8">
        <f t="shared" si="23"/>
        <v>198.01920807789026</v>
      </c>
      <c r="AJ8">
        <f t="shared" si="23"/>
        <v>198.38707101953383</v>
      </c>
    </row>
    <row r="9" spans="1:36" x14ac:dyDescent="0.3">
      <c r="A9" t="s">
        <v>119</v>
      </c>
      <c r="B9">
        <v>200</v>
      </c>
      <c r="C9">
        <f>B9+(0)*$N$12</f>
        <v>200</v>
      </c>
      <c r="D9">
        <f t="shared" ref="D9:R9" si="24">C9+(0)*$N$12</f>
        <v>200</v>
      </c>
      <c r="E9">
        <f t="shared" si="24"/>
        <v>200</v>
      </c>
      <c r="F9">
        <f t="shared" si="24"/>
        <v>200</v>
      </c>
      <c r="G9">
        <f t="shared" si="24"/>
        <v>200</v>
      </c>
      <c r="H9">
        <f t="shared" si="24"/>
        <v>200</v>
      </c>
      <c r="I9">
        <f t="shared" si="24"/>
        <v>200</v>
      </c>
      <c r="J9">
        <f t="shared" si="24"/>
        <v>200</v>
      </c>
      <c r="K9">
        <f t="shared" si="24"/>
        <v>200</v>
      </c>
      <c r="L9">
        <f t="shared" si="24"/>
        <v>200</v>
      </c>
      <c r="M9">
        <f t="shared" si="24"/>
        <v>200</v>
      </c>
      <c r="N9">
        <f t="shared" si="24"/>
        <v>200</v>
      </c>
      <c r="O9">
        <f t="shared" si="24"/>
        <v>200</v>
      </c>
      <c r="P9">
        <f t="shared" si="24"/>
        <v>200</v>
      </c>
      <c r="Q9">
        <f t="shared" si="24"/>
        <v>200</v>
      </c>
      <c r="R9">
        <f t="shared" si="24"/>
        <v>200</v>
      </c>
      <c r="S9">
        <f t="shared" ref="S9:T9" si="25">R9+(0)*$N$12</f>
        <v>200</v>
      </c>
      <c r="T9">
        <f t="shared" si="25"/>
        <v>200</v>
      </c>
      <c r="U9">
        <f t="shared" ref="U9:AJ9" si="26">T9+(0)*$N$12</f>
        <v>200</v>
      </c>
      <c r="V9">
        <f t="shared" si="26"/>
        <v>200</v>
      </c>
      <c r="W9">
        <f t="shared" si="26"/>
        <v>200</v>
      </c>
      <c r="X9">
        <f t="shared" si="26"/>
        <v>200</v>
      </c>
      <c r="Y9">
        <f t="shared" si="26"/>
        <v>200</v>
      </c>
      <c r="Z9">
        <f t="shared" si="26"/>
        <v>200</v>
      </c>
      <c r="AA9">
        <f t="shared" si="26"/>
        <v>200</v>
      </c>
      <c r="AB9">
        <f t="shared" si="26"/>
        <v>200</v>
      </c>
      <c r="AC9">
        <f t="shared" si="26"/>
        <v>200</v>
      </c>
      <c r="AD9">
        <f t="shared" si="26"/>
        <v>200</v>
      </c>
      <c r="AE9">
        <f t="shared" si="26"/>
        <v>200</v>
      </c>
      <c r="AF9">
        <f t="shared" si="26"/>
        <v>200</v>
      </c>
      <c r="AG9">
        <f t="shared" si="26"/>
        <v>200</v>
      </c>
      <c r="AH9">
        <f t="shared" si="26"/>
        <v>200</v>
      </c>
      <c r="AI9">
        <f t="shared" si="26"/>
        <v>200</v>
      </c>
      <c r="AJ9">
        <f t="shared" si="26"/>
        <v>200</v>
      </c>
    </row>
    <row r="10" spans="1:36" ht="15" thickBot="1" x14ac:dyDescent="0.35">
      <c r="A10" t="s">
        <v>133</v>
      </c>
      <c r="B10">
        <v>100</v>
      </c>
      <c r="C10">
        <f>B10+(0)*$N$12</f>
        <v>100</v>
      </c>
      <c r="D10">
        <f t="shared" ref="D10:R10" si="27">C10+(0)*$N$12</f>
        <v>100</v>
      </c>
      <c r="E10">
        <f t="shared" si="27"/>
        <v>100</v>
      </c>
      <c r="F10">
        <f t="shared" si="27"/>
        <v>100</v>
      </c>
      <c r="G10">
        <f t="shared" si="27"/>
        <v>100</v>
      </c>
      <c r="H10">
        <f t="shared" si="27"/>
        <v>100</v>
      </c>
      <c r="I10">
        <f t="shared" si="27"/>
        <v>100</v>
      </c>
      <c r="J10">
        <f t="shared" si="27"/>
        <v>100</v>
      </c>
      <c r="K10">
        <f t="shared" si="27"/>
        <v>100</v>
      </c>
      <c r="L10">
        <f t="shared" si="27"/>
        <v>100</v>
      </c>
      <c r="M10">
        <f t="shared" si="27"/>
        <v>100</v>
      </c>
      <c r="N10">
        <f t="shared" si="27"/>
        <v>100</v>
      </c>
      <c r="O10">
        <f t="shared" si="27"/>
        <v>100</v>
      </c>
      <c r="P10">
        <f t="shared" si="27"/>
        <v>100</v>
      </c>
      <c r="Q10">
        <f t="shared" si="27"/>
        <v>100</v>
      </c>
      <c r="R10">
        <f t="shared" si="27"/>
        <v>100</v>
      </c>
      <c r="S10">
        <f t="shared" ref="S10:T10" si="28">R10+(0)*$N$12</f>
        <v>100</v>
      </c>
      <c r="T10">
        <f t="shared" si="28"/>
        <v>100</v>
      </c>
      <c r="U10">
        <f t="shared" ref="U10:AJ10" si="29">T10+(0)*$N$12</f>
        <v>100</v>
      </c>
      <c r="V10">
        <f t="shared" si="29"/>
        <v>100</v>
      </c>
      <c r="W10">
        <f t="shared" si="29"/>
        <v>100</v>
      </c>
      <c r="X10">
        <f t="shared" si="29"/>
        <v>100</v>
      </c>
      <c r="Y10">
        <f t="shared" si="29"/>
        <v>100</v>
      </c>
      <c r="Z10">
        <f t="shared" si="29"/>
        <v>100</v>
      </c>
      <c r="AA10">
        <f t="shared" si="29"/>
        <v>100</v>
      </c>
      <c r="AB10">
        <f t="shared" si="29"/>
        <v>100</v>
      </c>
      <c r="AC10">
        <f t="shared" si="29"/>
        <v>100</v>
      </c>
      <c r="AD10">
        <f t="shared" si="29"/>
        <v>100</v>
      </c>
      <c r="AE10">
        <f t="shared" si="29"/>
        <v>100</v>
      </c>
      <c r="AF10">
        <f t="shared" si="29"/>
        <v>100</v>
      </c>
      <c r="AG10">
        <f t="shared" si="29"/>
        <v>100</v>
      </c>
      <c r="AH10">
        <f t="shared" si="29"/>
        <v>100</v>
      </c>
      <c r="AI10">
        <f t="shared" si="29"/>
        <v>100</v>
      </c>
      <c r="AJ10">
        <f t="shared" si="29"/>
        <v>100</v>
      </c>
    </row>
    <row r="11" spans="1:36" ht="15" thickBot="1" x14ac:dyDescent="0.35">
      <c r="A11" s="76" t="s">
        <v>120</v>
      </c>
      <c r="B11" s="77" t="s">
        <v>121</v>
      </c>
      <c r="C11" s="77" t="s">
        <v>122</v>
      </c>
      <c r="D11" s="77" t="s">
        <v>123</v>
      </c>
      <c r="E11" s="77" t="s">
        <v>124</v>
      </c>
      <c r="F11" s="77" t="s">
        <v>125</v>
      </c>
      <c r="G11" s="77" t="s">
        <v>126</v>
      </c>
      <c r="H11" s="77" t="s">
        <v>127</v>
      </c>
      <c r="I11" s="77" t="s">
        <v>128</v>
      </c>
      <c r="J11" s="77" t="s">
        <v>129</v>
      </c>
      <c r="K11" s="77" t="s">
        <v>130</v>
      </c>
      <c r="L11" s="77" t="s">
        <v>131</v>
      </c>
      <c r="M11" s="77" t="s">
        <v>132</v>
      </c>
      <c r="N11" s="55" t="s">
        <v>134</v>
      </c>
    </row>
    <row r="12" spans="1:36" ht="15" thickBot="1" x14ac:dyDescent="0.35">
      <c r="A12" s="81">
        <v>0.4</v>
      </c>
      <c r="B12" s="82">
        <v>0.2</v>
      </c>
      <c r="C12" s="82">
        <v>0.1</v>
      </c>
      <c r="D12" s="82">
        <v>0.4</v>
      </c>
      <c r="E12" s="82">
        <v>0.2</v>
      </c>
      <c r="F12" s="82">
        <v>0.5</v>
      </c>
      <c r="G12" s="82">
        <v>0.6</v>
      </c>
      <c r="H12" s="82">
        <v>0.2</v>
      </c>
      <c r="I12" s="82">
        <v>0.3</v>
      </c>
      <c r="J12" s="82">
        <v>0.2</v>
      </c>
      <c r="K12" s="82">
        <v>0.6</v>
      </c>
      <c r="L12" s="82">
        <v>0.1</v>
      </c>
      <c r="M12" s="82">
        <v>0.3</v>
      </c>
      <c r="N12" s="83">
        <v>0.5</v>
      </c>
    </row>
    <row r="13" spans="1:36" ht="37.799999999999997" customHeight="1" thickBot="1" x14ac:dyDescent="0.35">
      <c r="A13" s="78" t="s">
        <v>135</v>
      </c>
      <c r="B13" s="79" t="s">
        <v>136</v>
      </c>
      <c r="C13" s="79" t="s">
        <v>137</v>
      </c>
      <c r="D13" s="79" t="s">
        <v>138</v>
      </c>
      <c r="E13" s="79" t="s">
        <v>139</v>
      </c>
      <c r="F13" s="79" t="s">
        <v>140</v>
      </c>
      <c r="G13" s="79" t="s">
        <v>141</v>
      </c>
      <c r="H13" s="79" t="s">
        <v>142</v>
      </c>
      <c r="I13" s="79" t="s">
        <v>143</v>
      </c>
      <c r="J13" s="79" t="s">
        <v>144</v>
      </c>
      <c r="K13" s="79" t="s">
        <v>145</v>
      </c>
      <c r="L13" s="79" t="s">
        <v>146</v>
      </c>
      <c r="M13" s="79" t="s">
        <v>147</v>
      </c>
      <c r="N13" s="80" t="s">
        <v>148</v>
      </c>
    </row>
    <row r="14" spans="1:36" x14ac:dyDescent="0.3">
      <c r="A14" t="str">
        <f>A1</f>
        <v>t</v>
      </c>
      <c r="B14">
        <f t="shared" ref="B14:R15" si="30">B1</f>
        <v>0</v>
      </c>
      <c r="C14">
        <f t="shared" si="30"/>
        <v>0.5</v>
      </c>
      <c r="D14">
        <f t="shared" si="30"/>
        <v>1</v>
      </c>
      <c r="E14">
        <f t="shared" si="30"/>
        <v>1.5</v>
      </c>
      <c r="F14">
        <f t="shared" si="30"/>
        <v>2</v>
      </c>
      <c r="G14">
        <f t="shared" si="30"/>
        <v>2.5</v>
      </c>
      <c r="H14">
        <f t="shared" si="30"/>
        <v>3</v>
      </c>
      <c r="I14">
        <f t="shared" si="30"/>
        <v>3.5</v>
      </c>
      <c r="J14">
        <f t="shared" si="30"/>
        <v>4</v>
      </c>
      <c r="K14">
        <f t="shared" si="30"/>
        <v>4.5</v>
      </c>
      <c r="L14">
        <f t="shared" si="30"/>
        <v>5</v>
      </c>
      <c r="M14">
        <f t="shared" si="30"/>
        <v>5.5</v>
      </c>
      <c r="N14">
        <f t="shared" si="30"/>
        <v>6</v>
      </c>
      <c r="O14">
        <f t="shared" si="30"/>
        <v>6.5</v>
      </c>
      <c r="P14">
        <f t="shared" si="30"/>
        <v>7</v>
      </c>
      <c r="Q14">
        <f t="shared" si="30"/>
        <v>7.5</v>
      </c>
      <c r="R14">
        <f t="shared" si="30"/>
        <v>8</v>
      </c>
      <c r="S14">
        <f t="shared" ref="S14:T15" si="31">S1</f>
        <v>8.5</v>
      </c>
      <c r="T14">
        <f t="shared" si="31"/>
        <v>9</v>
      </c>
      <c r="U14">
        <f t="shared" ref="U14:AJ15" si="32">U1</f>
        <v>9.5</v>
      </c>
      <c r="V14">
        <f t="shared" si="32"/>
        <v>10</v>
      </c>
      <c r="W14">
        <f t="shared" si="32"/>
        <v>10.5</v>
      </c>
      <c r="X14">
        <f t="shared" si="32"/>
        <v>11</v>
      </c>
      <c r="Y14">
        <f t="shared" si="32"/>
        <v>11.5</v>
      </c>
      <c r="Z14">
        <f t="shared" si="32"/>
        <v>12</v>
      </c>
      <c r="AA14">
        <f t="shared" si="32"/>
        <v>12.5</v>
      </c>
      <c r="AB14">
        <f t="shared" si="32"/>
        <v>13</v>
      </c>
      <c r="AC14">
        <f t="shared" si="32"/>
        <v>13.5</v>
      </c>
      <c r="AD14">
        <f t="shared" si="32"/>
        <v>14</v>
      </c>
      <c r="AE14">
        <f t="shared" si="32"/>
        <v>14.5</v>
      </c>
      <c r="AF14">
        <f t="shared" si="32"/>
        <v>15</v>
      </c>
      <c r="AG14">
        <f t="shared" si="32"/>
        <v>15.5</v>
      </c>
      <c r="AH14">
        <f t="shared" si="32"/>
        <v>16</v>
      </c>
      <c r="AI14">
        <f t="shared" si="32"/>
        <v>16.5</v>
      </c>
      <c r="AJ14">
        <f t="shared" si="32"/>
        <v>17</v>
      </c>
    </row>
    <row r="15" spans="1:36" x14ac:dyDescent="0.3">
      <c r="A15" t="str">
        <f>A2</f>
        <v>A</v>
      </c>
      <c r="B15">
        <f t="shared" si="30"/>
        <v>60</v>
      </c>
      <c r="C15">
        <f t="shared" si="30"/>
        <v>69.5</v>
      </c>
      <c r="D15">
        <f t="shared" si="30"/>
        <v>82.474999999999994</v>
      </c>
      <c r="E15">
        <f t="shared" si="30"/>
        <v>93.413749999999993</v>
      </c>
      <c r="F15">
        <f t="shared" si="30"/>
        <v>102.42443750000001</v>
      </c>
      <c r="G15">
        <f t="shared" si="30"/>
        <v>110.06984687500001</v>
      </c>
      <c r="H15">
        <f t="shared" si="30"/>
        <v>116.73000296875001</v>
      </c>
      <c r="I15">
        <f t="shared" si="30"/>
        <v>122.62567233593751</v>
      </c>
      <c r="J15">
        <f t="shared" si="30"/>
        <v>127.88802264023438</v>
      </c>
      <c r="K15">
        <f t="shared" si="30"/>
        <v>132.60223463341796</v>
      </c>
      <c r="L15">
        <f t="shared" si="30"/>
        <v>136.83011458958106</v>
      </c>
      <c r="M15">
        <f t="shared" si="30"/>
        <v>140.62114750221147</v>
      </c>
      <c r="N15">
        <f t="shared" si="30"/>
        <v>144.01776093406767</v>
      </c>
      <c r="O15">
        <f t="shared" si="30"/>
        <v>147.05779226736865</v>
      </c>
      <c r="P15">
        <f t="shared" si="30"/>
        <v>149.7756371984413</v>
      </c>
      <c r="Q15">
        <f t="shared" si="30"/>
        <v>152.20279430313127</v>
      </c>
      <c r="R15">
        <f t="shared" si="30"/>
        <v>154.36814565145156</v>
      </c>
      <c r="S15">
        <f t="shared" si="31"/>
        <v>156.29813126321073</v>
      </c>
      <c r="T15">
        <f t="shared" si="31"/>
        <v>158.01688754925931</v>
      </c>
      <c r="U15">
        <f t="shared" si="32"/>
        <v>159.54637841673153</v>
      </c>
      <c r="V15">
        <f t="shared" si="32"/>
        <v>160.90652868668946</v>
      </c>
      <c r="W15">
        <f t="shared" si="32"/>
        <v>162.11536122971484</v>
      </c>
      <c r="X15">
        <f t="shared" si="32"/>
        <v>163.18913606707915</v>
      </c>
      <c r="Y15">
        <f t="shared" si="32"/>
        <v>164.14248883788051</v>
      </c>
      <c r="Z15">
        <f t="shared" si="32"/>
        <v>164.98856616276049</v>
      </c>
      <c r="AA15">
        <f t="shared" si="32"/>
        <v>165.7391559162939</v>
      </c>
      <c r="AB15">
        <f t="shared" si="32"/>
        <v>166.40481097094093</v>
      </c>
      <c r="AC15">
        <f t="shared" si="32"/>
        <v>166.9949654789032</v>
      </c>
      <c r="AD15">
        <f t="shared" si="32"/>
        <v>167.51804317500654</v>
      </c>
      <c r="AE15">
        <f t="shared" si="32"/>
        <v>167.98155750903848</v>
      </c>
      <c r="AF15">
        <f t="shared" si="32"/>
        <v>168.39220365896648</v>
      </c>
      <c r="AG15">
        <f t="shared" si="32"/>
        <v>168.75594265074562</v>
      </c>
      <c r="AH15">
        <f t="shared" si="32"/>
        <v>169.07807792975785</v>
      </c>
      <c r="AI15">
        <f t="shared" si="32"/>
        <v>169.36332480558076</v>
      </c>
      <c r="AJ15">
        <f t="shared" si="32"/>
        <v>169.61587323603561</v>
      </c>
    </row>
    <row r="16" spans="1:36" x14ac:dyDescent="0.3">
      <c r="A16" t="str">
        <f>A3</f>
        <v>B</v>
      </c>
      <c r="B16">
        <f t="shared" ref="B16:R16" si="33">B3</f>
        <v>50</v>
      </c>
      <c r="C16">
        <f t="shared" si="33"/>
        <v>103</v>
      </c>
      <c r="D16">
        <f t="shared" si="33"/>
        <v>133.72499999999999</v>
      </c>
      <c r="E16">
        <f t="shared" si="33"/>
        <v>155.49</v>
      </c>
      <c r="F16">
        <f t="shared" si="33"/>
        <v>172.2480625</v>
      </c>
      <c r="G16">
        <f t="shared" si="33"/>
        <v>185.64833125000001</v>
      </c>
      <c r="H16">
        <f t="shared" si="33"/>
        <v>196.58848953124999</v>
      </c>
      <c r="I16">
        <f t="shared" si="33"/>
        <v>205.63832574999998</v>
      </c>
      <c r="J16">
        <f t="shared" si="33"/>
        <v>213.19246923789061</v>
      </c>
      <c r="K16">
        <f t="shared" si="33"/>
        <v>219.53995075316405</v>
      </c>
      <c r="L16">
        <f t="shared" si="33"/>
        <v>224.90083705565331</v>
      </c>
      <c r="M16">
        <f t="shared" si="33"/>
        <v>229.44734290081132</v>
      </c>
      <c r="N16">
        <f t="shared" si="33"/>
        <v>233.31685981758523</v>
      </c>
      <c r="O16">
        <f t="shared" si="33"/>
        <v>236.62049664060916</v>
      </c>
      <c r="P16">
        <f t="shared" si="33"/>
        <v>239.4489868031763</v>
      </c>
      <c r="Q16">
        <f t="shared" si="33"/>
        <v>241.87696287353384</v>
      </c>
      <c r="R16">
        <f t="shared" si="33"/>
        <v>243.96616108840257</v>
      </c>
      <c r="S16">
        <f t="shared" ref="S16:T16" si="34">S3</f>
        <v>245.76788763986823</v>
      </c>
      <c r="T16">
        <f t="shared" si="34"/>
        <v>247.32495277202892</v>
      </c>
      <c r="U16">
        <f t="shared" ref="U16:AJ16" si="35">U3</f>
        <v>248.67320774160299</v>
      </c>
      <c r="V16">
        <f t="shared" si="35"/>
        <v>249.84277772952791</v>
      </c>
      <c r="W16">
        <f t="shared" si="35"/>
        <v>250.85905767570324</v>
      </c>
      <c r="X16">
        <f t="shared" si="35"/>
        <v>251.74352087290586</v>
      </c>
      <c r="Y16">
        <f t="shared" si="35"/>
        <v>252.51437834097908</v>
      </c>
      <c r="Z16">
        <f t="shared" si="35"/>
        <v>253.18711850698801</v>
      </c>
      <c r="AA16">
        <f t="shared" si="35"/>
        <v>253.77495040428855</v>
      </c>
      <c r="AB16">
        <f t="shared" si="35"/>
        <v>254.28916879757401</v>
      </c>
      <c r="AC16">
        <f t="shared" si="35"/>
        <v>254.73945591906866</v>
      </c>
      <c r="AD16">
        <f t="shared" si="35"/>
        <v>255.13413158432311</v>
      </c>
      <c r="AE16">
        <f t="shared" si="35"/>
        <v>255.48036115166613</v>
      </c>
      <c r="AF16">
        <f t="shared" si="35"/>
        <v>255.78432895837361</v>
      </c>
      <c r="AG16">
        <f t="shared" si="35"/>
        <v>256.05138340580839</v>
      </c>
      <c r="AH16">
        <f t="shared" si="35"/>
        <v>256.28615869669704</v>
      </c>
      <c r="AI16">
        <f t="shared" si="35"/>
        <v>256.49267728973115</v>
      </c>
      <c r="AJ16">
        <f t="shared" si="35"/>
        <v>256.67443638247715</v>
      </c>
    </row>
    <row r="17" spans="1:36" x14ac:dyDescent="0.3">
      <c r="A17" t="str">
        <f>A6</f>
        <v>E</v>
      </c>
      <c r="B17">
        <f t="shared" ref="B17:R17" si="36">B6</f>
        <v>30</v>
      </c>
      <c r="C17">
        <f t="shared" si="36"/>
        <v>32.5</v>
      </c>
      <c r="D17">
        <f t="shared" si="36"/>
        <v>46.774999999999999</v>
      </c>
      <c r="E17">
        <f t="shared" si="36"/>
        <v>61.548749999999998</v>
      </c>
      <c r="F17">
        <f t="shared" si="36"/>
        <v>74.677812500000002</v>
      </c>
      <c r="G17">
        <f t="shared" si="36"/>
        <v>85.899690625000005</v>
      </c>
      <c r="H17">
        <f t="shared" si="36"/>
        <v>95.366624843750003</v>
      </c>
      <c r="I17">
        <f t="shared" si="36"/>
        <v>103.3152913671875</v>
      </c>
      <c r="J17">
        <f t="shared" si="36"/>
        <v>109.98116163320312</v>
      </c>
      <c r="K17">
        <f t="shared" si="36"/>
        <v>115.57456271228514</v>
      </c>
      <c r="L17">
        <f t="shared" si="36"/>
        <v>120.27548424497557</v>
      </c>
      <c r="M17">
        <f t="shared" si="36"/>
        <v>124.23482588767143</v>
      </c>
      <c r="N17">
        <f t="shared" si="36"/>
        <v>127.57779059012213</v>
      </c>
      <c r="O17">
        <f t="shared" si="36"/>
        <v>130.4077376964176</v>
      </c>
      <c r="P17">
        <f t="shared" si="36"/>
        <v>132.80982564777094</v>
      </c>
      <c r="Q17">
        <f t="shared" si="36"/>
        <v>134.85420831058337</v>
      </c>
      <c r="R17">
        <f t="shared" si="36"/>
        <v>136.5987379044067</v>
      </c>
      <c r="S17">
        <f t="shared" ref="S17:T17" si="37">S6</f>
        <v>138.09120577512132</v>
      </c>
      <c r="T17">
        <f t="shared" si="37"/>
        <v>139.37117984824468</v>
      </c>
      <c r="U17">
        <f t="shared" ref="U17:AJ17" si="38">U6</f>
        <v>140.47150251989243</v>
      </c>
      <c r="V17">
        <f t="shared" si="38"/>
        <v>141.41950822317574</v>
      </c>
      <c r="W17">
        <f t="shared" si="38"/>
        <v>142.23801211319039</v>
      </c>
      <c r="X17">
        <f t="shared" si="38"/>
        <v>142.9461130166917</v>
      </c>
      <c r="Y17">
        <f t="shared" si="38"/>
        <v>143.55984614264591</v>
      </c>
      <c r="Z17">
        <f t="shared" si="38"/>
        <v>144.0927144366764</v>
      </c>
      <c r="AA17">
        <f t="shared" si="38"/>
        <v>144.55612193434365</v>
      </c>
      <c r="AB17">
        <f t="shared" si="38"/>
        <v>144.95972793323548</v>
      </c>
      <c r="AC17">
        <f t="shared" si="38"/>
        <v>145.31173712378015</v>
      </c>
      <c r="AD17">
        <f t="shared" si="38"/>
        <v>145.61913785115104</v>
      </c>
      <c r="AE17">
        <f t="shared" si="38"/>
        <v>145.88789829621356</v>
      </c>
      <c r="AF17">
        <f t="shared" si="38"/>
        <v>146.12312845122497</v>
      </c>
      <c r="AG17">
        <f t="shared" si="38"/>
        <v>146.32921423371144</v>
      </c>
      <c r="AH17">
        <f t="shared" si="38"/>
        <v>146.50992885428789</v>
      </c>
      <c r="AI17">
        <f t="shared" si="38"/>
        <v>146.66852557026775</v>
      </c>
      <c r="AJ17">
        <f t="shared" si="38"/>
        <v>146.80781516781542</v>
      </c>
    </row>
    <row r="18" spans="1:36" x14ac:dyDescent="0.3">
      <c r="A18" t="str">
        <f>A7</f>
        <v>F</v>
      </c>
      <c r="B18">
        <f t="shared" ref="B18:R18" si="39">B7</f>
        <v>20</v>
      </c>
      <c r="C18">
        <f t="shared" si="39"/>
        <v>18.5</v>
      </c>
      <c r="D18">
        <f t="shared" si="39"/>
        <v>18.2</v>
      </c>
      <c r="E18">
        <f t="shared" si="39"/>
        <v>20.206250000000001</v>
      </c>
      <c r="F18">
        <f t="shared" si="39"/>
        <v>23.325125</v>
      </c>
      <c r="G18">
        <f t="shared" si="39"/>
        <v>26.697978124999999</v>
      </c>
      <c r="H18">
        <f t="shared" si="39"/>
        <v>29.899043750000001</v>
      </c>
      <c r="I18">
        <f t="shared" si="39"/>
        <v>32.759563414062498</v>
      </c>
      <c r="J18">
        <f t="shared" si="39"/>
        <v>35.239097241406249</v>
      </c>
      <c r="K18">
        <f t="shared" si="39"/>
        <v>37.35476800361328</v>
      </c>
      <c r="L18">
        <f t="shared" si="39"/>
        <v>39.145830008468749</v>
      </c>
      <c r="M18">
        <f t="shared" si="39"/>
        <v>40.656946140557274</v>
      </c>
      <c r="N18">
        <f t="shared" si="39"/>
        <v>41.930849646401491</v>
      </c>
      <c r="O18">
        <f t="shared" si="39"/>
        <v>43.005550929398993</v>
      </c>
      <c r="P18">
        <f t="shared" si="39"/>
        <v>43.913658572692185</v>
      </c>
      <c r="Q18">
        <f t="shared" si="39"/>
        <v>44.682620204877125</v>
      </c>
      <c r="R18">
        <f t="shared" si="39"/>
        <v>45.335310338782215</v>
      </c>
      <c r="S18">
        <f t="shared" ref="S18:T18" si="40">S7</f>
        <v>45.890700338113</v>
      </c>
      <c r="T18">
        <f t="shared" si="40"/>
        <v>46.364496018419047</v>
      </c>
      <c r="U18">
        <f t="shared" ref="U18:AJ18" si="41">U7</f>
        <v>46.769700185525274</v>
      </c>
      <c r="V18">
        <f t="shared" si="41"/>
        <v>47.117090461470241</v>
      </c>
      <c r="W18">
        <f t="shared" si="41"/>
        <v>47.415616941137969</v>
      </c>
      <c r="X18">
        <f t="shared" si="41"/>
        <v>47.672729440490649</v>
      </c>
      <c r="Y18">
        <f t="shared" si="41"/>
        <v>47.894645200724547</v>
      </c>
      <c r="Z18">
        <f t="shared" si="41"/>
        <v>48.086567261722934</v>
      </c>
      <c r="AA18">
        <f t="shared" si="41"/>
        <v>48.252862433276782</v>
      </c>
      <c r="AB18">
        <f t="shared" si="41"/>
        <v>48.397206385126097</v>
      </c>
      <c r="AC18">
        <f t="shared" si="41"/>
        <v>48.522702063292066</v>
      </c>
      <c r="AD18">
        <f t="shared" si="41"/>
        <v>48.631976497048456</v>
      </c>
      <c r="AE18">
        <f t="shared" si="41"/>
        <v>48.727260101344463</v>
      </c>
      <c r="AF18">
        <f t="shared" si="41"/>
        <v>48.810451790037042</v>
      </c>
      <c r="AG18">
        <f t="shared" si="41"/>
        <v>48.883172573200412</v>
      </c>
      <c r="AH18">
        <f t="shared" si="41"/>
        <v>48.946809792996902</v>
      </c>
      <c r="AI18">
        <f t="shared" si="41"/>
        <v>49.002553734991793</v>
      </c>
      <c r="AJ18">
        <f t="shared" si="41"/>
        <v>49.051428016286465</v>
      </c>
    </row>
    <row r="19" spans="1:36" x14ac:dyDescent="0.3">
      <c r="A19" t="str">
        <f>A8</f>
        <v>G</v>
      </c>
      <c r="B19">
        <f t="shared" ref="B19:R19" si="42">B8</f>
        <v>150</v>
      </c>
      <c r="C19">
        <f t="shared" si="42"/>
        <v>140.5</v>
      </c>
      <c r="D19">
        <f t="shared" si="42"/>
        <v>135.27500000000001</v>
      </c>
      <c r="E19">
        <f t="shared" si="42"/>
        <v>133.95125000000002</v>
      </c>
      <c r="F19">
        <f t="shared" si="42"/>
        <v>135.1461875</v>
      </c>
      <c r="G19">
        <f t="shared" si="42"/>
        <v>137.84452812500001</v>
      </c>
      <c r="H19">
        <f t="shared" si="42"/>
        <v>141.39736546875002</v>
      </c>
      <c r="I19">
        <f t="shared" si="42"/>
        <v>145.39402469531251</v>
      </c>
      <c r="J19">
        <f t="shared" si="42"/>
        <v>149.5706529886719</v>
      </c>
      <c r="K19">
        <f t="shared" si="42"/>
        <v>153.75559426955078</v>
      </c>
      <c r="L19">
        <f t="shared" si="42"/>
        <v>157.83714262884669</v>
      </c>
      <c r="M19">
        <f t="shared" si="42"/>
        <v>161.74387988955124</v>
      </c>
      <c r="N19">
        <f t="shared" si="42"/>
        <v>165.43213941760573</v>
      </c>
      <c r="O19">
        <f t="shared" si="42"/>
        <v>168.87765675001782</v>
      </c>
      <c r="P19">
        <f t="shared" si="42"/>
        <v>172.06980101598708</v>
      </c>
      <c r="Q19">
        <f t="shared" si="42"/>
        <v>175.00747820167857</v>
      </c>
      <c r="R19">
        <f t="shared" si="42"/>
        <v>177.69616751188516</v>
      </c>
      <c r="S19">
        <f t="shared" ref="S19:T19" si="43">S8</f>
        <v>180.14575476420418</v>
      </c>
      <c r="T19">
        <f t="shared" si="43"/>
        <v>182.36894232579527</v>
      </c>
      <c r="U19">
        <f t="shared" ref="U19:AJ19" si="44">U8</f>
        <v>184.38008425419832</v>
      </c>
      <c r="V19">
        <f t="shared" si="44"/>
        <v>186.19433887399504</v>
      </c>
      <c r="W19">
        <f t="shared" si="44"/>
        <v>187.82705989283417</v>
      </c>
      <c r="X19">
        <f t="shared" si="44"/>
        <v>189.29336716556858</v>
      </c>
      <c r="Y19">
        <f t="shared" si="44"/>
        <v>190.60785258759228</v>
      </c>
      <c r="Z19">
        <f t="shared" si="44"/>
        <v>191.78438720827032</v>
      </c>
      <c r="AA19">
        <f t="shared" si="44"/>
        <v>192.83600363875485</v>
      </c>
      <c r="AB19">
        <f t="shared" si="44"/>
        <v>193.77483391232491</v>
      </c>
      <c r="AC19">
        <f t="shared" si="44"/>
        <v>194.61208762843188</v>
      </c>
      <c r="AD19">
        <f t="shared" si="44"/>
        <v>195.35805881710456</v>
      </c>
      <c r="AE19">
        <f t="shared" si="44"/>
        <v>196.02215274782972</v>
      </c>
      <c r="AF19">
        <f t="shared" si="44"/>
        <v>196.61292606267997</v>
      </c>
      <c r="AG19">
        <f t="shared" si="44"/>
        <v>197.13813527880328</v>
      </c>
      <c r="AH19">
        <f t="shared" si="44"/>
        <v>197.60478998925157</v>
      </c>
      <c r="AI19">
        <f t="shared" si="44"/>
        <v>198.01920807789026</v>
      </c>
      <c r="AJ19">
        <f t="shared" si="44"/>
        <v>198.38707101953383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8981-D008-421B-910A-517705A559EF}">
  <dimension ref="A1:K14"/>
  <sheetViews>
    <sheetView zoomScale="136" workbookViewId="0">
      <selection activeCell="D10" sqref="D10"/>
    </sheetView>
  </sheetViews>
  <sheetFormatPr defaultRowHeight="14.4" x14ac:dyDescent="0.3"/>
  <sheetData>
    <row r="1" spans="1:11" x14ac:dyDescent="0.3">
      <c r="A1" s="7" t="s">
        <v>33</v>
      </c>
      <c r="B1" s="1">
        <v>0</v>
      </c>
      <c r="C1" s="2">
        <f>B1+1</f>
        <v>1</v>
      </c>
      <c r="D1" s="2">
        <f t="shared" ref="D1:E1" si="0">C1+1</f>
        <v>2</v>
      </c>
      <c r="E1" s="3">
        <f t="shared" si="0"/>
        <v>3</v>
      </c>
      <c r="F1" s="2">
        <f t="shared" ref="F1:K1" si="1">E1+1</f>
        <v>4</v>
      </c>
      <c r="G1" s="2">
        <f t="shared" si="1"/>
        <v>5</v>
      </c>
      <c r="H1" s="2">
        <f t="shared" si="1"/>
        <v>6</v>
      </c>
      <c r="I1" s="2">
        <f t="shared" si="1"/>
        <v>7</v>
      </c>
      <c r="J1" s="2">
        <f t="shared" si="1"/>
        <v>8</v>
      </c>
      <c r="K1" s="3">
        <f t="shared" si="1"/>
        <v>9</v>
      </c>
    </row>
    <row r="2" spans="1:11" ht="15" thickBot="1" x14ac:dyDescent="0.35">
      <c r="A2" s="8" t="s">
        <v>32</v>
      </c>
      <c r="B2" s="4">
        <f>0.5*B1*B1+1.5*B1+1</f>
        <v>1</v>
      </c>
      <c r="C2" s="5">
        <f t="shared" ref="C2:E2" si="2">0.5*C1*C1+1.5*C1+1</f>
        <v>3</v>
      </c>
      <c r="D2" s="5">
        <f t="shared" si="2"/>
        <v>6</v>
      </c>
      <c r="E2" s="6">
        <f t="shared" si="2"/>
        <v>10</v>
      </c>
      <c r="F2" s="46">
        <f t="shared" ref="F2" si="3">0.5*F1*F1+1.5*F1+1</f>
        <v>15</v>
      </c>
      <c r="G2" s="5">
        <f t="shared" ref="G2" si="4">0.5*G1*G1+1.5*G1+1</f>
        <v>21</v>
      </c>
      <c r="H2" s="5">
        <f t="shared" ref="H2" si="5">0.5*H1*H1+1.5*H1+1</f>
        <v>28</v>
      </c>
      <c r="I2" s="5">
        <f t="shared" ref="I2" si="6">0.5*I1*I1+1.5*I1+1</f>
        <v>36</v>
      </c>
      <c r="J2" s="5">
        <f t="shared" ref="J2" si="7">0.5*J1*J1+1.5*J1+1</f>
        <v>45</v>
      </c>
      <c r="K2" s="6">
        <f t="shared" ref="K2" si="8">0.5*K1*K1+1.5*K1+1</f>
        <v>55</v>
      </c>
    </row>
    <row r="3" spans="1:11" x14ac:dyDescent="0.3">
      <c r="A3" s="47" t="s">
        <v>45</v>
      </c>
      <c r="C3">
        <f>C2-B2</f>
        <v>2</v>
      </c>
      <c r="D3">
        <f>D2-C2</f>
        <v>3</v>
      </c>
      <c r="E3" s="48">
        <f>E2-D2</f>
        <v>4</v>
      </c>
      <c r="F3">
        <f t="shared" ref="F3:K5" si="9">F2-E2</f>
        <v>5</v>
      </c>
      <c r="G3">
        <f t="shared" si="9"/>
        <v>6</v>
      </c>
      <c r="H3">
        <f t="shared" si="9"/>
        <v>7</v>
      </c>
      <c r="I3">
        <f t="shared" si="9"/>
        <v>8</v>
      </c>
      <c r="J3">
        <f t="shared" si="9"/>
        <v>9</v>
      </c>
      <c r="K3">
        <f t="shared" si="9"/>
        <v>10</v>
      </c>
    </row>
    <row r="4" spans="1:11" x14ac:dyDescent="0.3">
      <c r="A4" s="47" t="s">
        <v>46</v>
      </c>
      <c r="D4">
        <f>D3-C3</f>
        <v>1</v>
      </c>
      <c r="E4" s="48">
        <f>E3-D3</f>
        <v>1</v>
      </c>
      <c r="F4">
        <f t="shared" si="9"/>
        <v>1</v>
      </c>
      <c r="G4">
        <f t="shared" si="9"/>
        <v>1</v>
      </c>
      <c r="H4">
        <f t="shared" si="9"/>
        <v>1</v>
      </c>
      <c r="I4">
        <f t="shared" si="9"/>
        <v>1</v>
      </c>
      <c r="J4">
        <f t="shared" si="9"/>
        <v>1</v>
      </c>
      <c r="K4">
        <f t="shared" si="9"/>
        <v>1</v>
      </c>
    </row>
    <row r="5" spans="1:11" ht="15" thickBot="1" x14ac:dyDescent="0.35">
      <c r="A5" s="47" t="s">
        <v>47</v>
      </c>
      <c r="B5" s="49"/>
      <c r="C5" s="49"/>
      <c r="D5" s="49"/>
      <c r="E5" s="50">
        <f>E4-D4</f>
        <v>0</v>
      </c>
      <c r="F5">
        <f t="shared" si="9"/>
        <v>0</v>
      </c>
      <c r="G5">
        <f t="shared" si="9"/>
        <v>0</v>
      </c>
      <c r="H5">
        <f t="shared" si="9"/>
        <v>0</v>
      </c>
      <c r="I5">
        <f t="shared" si="9"/>
        <v>0</v>
      </c>
      <c r="J5">
        <f t="shared" si="9"/>
        <v>0</v>
      </c>
      <c r="K5">
        <f t="shared" si="9"/>
        <v>0</v>
      </c>
    </row>
    <row r="14" spans="1:11" x14ac:dyDescent="0.3">
      <c r="I14" t="s">
        <v>31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EB9D-7C7B-4AC1-99BE-30F449C03616}">
  <dimension ref="A1:Q14"/>
  <sheetViews>
    <sheetView workbookViewId="0">
      <selection activeCell="C2" sqref="C2"/>
    </sheetView>
  </sheetViews>
  <sheetFormatPr defaultColWidth="7.77734375" defaultRowHeight="35.4" customHeight="1" x14ac:dyDescent="0.3"/>
  <cols>
    <col min="1" max="16384" width="7.77734375" style="9"/>
  </cols>
  <sheetData>
    <row r="1" spans="1:17" ht="35.4" customHeight="1" thickBot="1" x14ac:dyDescent="0.35">
      <c r="B1" s="10" t="s">
        <v>23</v>
      </c>
      <c r="C1" s="11">
        <v>0</v>
      </c>
      <c r="D1" s="12">
        <f>C1+1</f>
        <v>1</v>
      </c>
      <c r="E1" s="12">
        <f t="shared" ref="E1:G1" si="0">D1+1</f>
        <v>2</v>
      </c>
      <c r="F1" s="12">
        <f t="shared" si="0"/>
        <v>3</v>
      </c>
      <c r="G1" s="12">
        <f t="shared" si="0"/>
        <v>4</v>
      </c>
      <c r="H1" s="12">
        <f>G1+1</f>
        <v>5</v>
      </c>
      <c r="I1" s="13">
        <f>H1+1</f>
        <v>6</v>
      </c>
      <c r="J1" s="36">
        <f t="shared" ref="J1:Q1" si="1">I1+1</f>
        <v>7</v>
      </c>
      <c r="K1" s="37">
        <f t="shared" si="1"/>
        <v>8</v>
      </c>
      <c r="L1" s="37">
        <f t="shared" si="1"/>
        <v>9</v>
      </c>
      <c r="M1" s="37">
        <f t="shared" si="1"/>
        <v>10</v>
      </c>
      <c r="N1" s="37">
        <f t="shared" si="1"/>
        <v>11</v>
      </c>
      <c r="O1" s="38">
        <f t="shared" si="1"/>
        <v>12</v>
      </c>
      <c r="P1" s="38">
        <f t="shared" si="1"/>
        <v>13</v>
      </c>
      <c r="Q1" s="38">
        <f t="shared" si="1"/>
        <v>14</v>
      </c>
    </row>
    <row r="2" spans="1:17" ht="35.4" customHeight="1" x14ac:dyDescent="0.3">
      <c r="A2" s="9">
        <v>0</v>
      </c>
      <c r="B2" s="44" t="s">
        <v>34</v>
      </c>
      <c r="C2" s="14">
        <f>IF(C$1&gt;=$A2,FACT(C$1)/(FACT($A2)*FACT(C$1-$A2))*2^(C$1-$A2),0)</f>
        <v>1</v>
      </c>
      <c r="D2" s="15">
        <f t="shared" ref="D2:Q14" si="2">IF(D$1&gt;=$A2,FACT(D$1)/(FACT($A2)*FACT(D$1-$A2))*2^(D$1-$A2),0)</f>
        <v>2</v>
      </c>
      <c r="E2" s="15">
        <f t="shared" si="2"/>
        <v>4</v>
      </c>
      <c r="F2" s="15">
        <f t="shared" si="2"/>
        <v>8</v>
      </c>
      <c r="G2" s="15">
        <f t="shared" si="2"/>
        <v>16</v>
      </c>
      <c r="H2" s="15">
        <f t="shared" si="2"/>
        <v>32</v>
      </c>
      <c r="I2" s="16">
        <f t="shared" si="2"/>
        <v>64</v>
      </c>
      <c r="J2" s="27">
        <f t="shared" si="2"/>
        <v>128</v>
      </c>
      <c r="K2" s="28">
        <f t="shared" si="2"/>
        <v>256</v>
      </c>
      <c r="L2" s="28">
        <f t="shared" si="2"/>
        <v>512</v>
      </c>
      <c r="M2" s="28">
        <f t="shared" si="2"/>
        <v>1024</v>
      </c>
      <c r="N2" s="28">
        <f t="shared" si="2"/>
        <v>2048</v>
      </c>
      <c r="O2" s="29">
        <f t="shared" si="2"/>
        <v>4096</v>
      </c>
      <c r="P2" s="29">
        <f t="shared" si="2"/>
        <v>8192</v>
      </c>
      <c r="Q2" s="29">
        <f t="shared" si="2"/>
        <v>16384</v>
      </c>
    </row>
    <row r="3" spans="1:17" ht="35.4" customHeight="1" x14ac:dyDescent="0.3">
      <c r="A3" s="9">
        <v>1</v>
      </c>
      <c r="B3" s="19" t="s">
        <v>33</v>
      </c>
      <c r="C3" s="41">
        <f t="shared" ref="C3:E14" si="3">IF(C$1&gt;=$A3,FACT(C$1)/(FACT($A3)*FACT(C$1-$A3))*2^(C$1-$A3),0)</f>
        <v>0</v>
      </c>
      <c r="D3" s="42">
        <f t="shared" si="2"/>
        <v>1</v>
      </c>
      <c r="E3" s="42">
        <f t="shared" si="2"/>
        <v>4</v>
      </c>
      <c r="F3" s="20">
        <f t="shared" si="2"/>
        <v>12</v>
      </c>
      <c r="G3" s="20">
        <f t="shared" si="2"/>
        <v>32</v>
      </c>
      <c r="H3" s="20">
        <f t="shared" si="2"/>
        <v>80</v>
      </c>
      <c r="I3" s="21">
        <f t="shared" si="2"/>
        <v>192</v>
      </c>
      <c r="J3" s="17">
        <f t="shared" si="2"/>
        <v>448</v>
      </c>
      <c r="K3" s="18">
        <f t="shared" si="2"/>
        <v>1024</v>
      </c>
      <c r="L3" s="18">
        <f t="shared" si="2"/>
        <v>2304</v>
      </c>
      <c r="M3" s="18">
        <f t="shared" si="2"/>
        <v>5120</v>
      </c>
      <c r="N3" s="18">
        <f t="shared" si="2"/>
        <v>11264</v>
      </c>
      <c r="O3" s="30">
        <f t="shared" si="2"/>
        <v>24576</v>
      </c>
      <c r="P3" s="30">
        <f t="shared" si="2"/>
        <v>53248</v>
      </c>
      <c r="Q3" s="30">
        <f t="shared" si="2"/>
        <v>114688</v>
      </c>
    </row>
    <row r="4" spans="1:17" ht="35.4" customHeight="1" x14ac:dyDescent="0.3">
      <c r="A4" s="9">
        <v>2</v>
      </c>
      <c r="B4" s="19" t="s">
        <v>35</v>
      </c>
      <c r="C4" s="32">
        <f t="shared" si="3"/>
        <v>0</v>
      </c>
      <c r="D4" s="18">
        <f t="shared" si="3"/>
        <v>0</v>
      </c>
      <c r="E4" s="20">
        <f t="shared" si="2"/>
        <v>1</v>
      </c>
      <c r="F4" s="39">
        <f t="shared" si="2"/>
        <v>6</v>
      </c>
      <c r="G4" s="20">
        <f t="shared" si="2"/>
        <v>24</v>
      </c>
      <c r="H4" s="20">
        <f t="shared" si="2"/>
        <v>80</v>
      </c>
      <c r="I4" s="21">
        <f t="shared" si="2"/>
        <v>240</v>
      </c>
      <c r="J4" s="17">
        <f t="shared" si="2"/>
        <v>672</v>
      </c>
      <c r="K4" s="18">
        <f t="shared" si="2"/>
        <v>1792</v>
      </c>
      <c r="L4" s="18">
        <f t="shared" si="2"/>
        <v>4608</v>
      </c>
      <c r="M4" s="18">
        <f t="shared" si="2"/>
        <v>11520</v>
      </c>
      <c r="N4" s="18">
        <f t="shared" si="2"/>
        <v>28160</v>
      </c>
      <c r="O4" s="30">
        <f t="shared" si="2"/>
        <v>67584</v>
      </c>
      <c r="P4" s="30">
        <f t="shared" si="2"/>
        <v>159744</v>
      </c>
      <c r="Q4" s="30">
        <f t="shared" si="2"/>
        <v>372736</v>
      </c>
    </row>
    <row r="5" spans="1:17" ht="35.4" customHeight="1" thickBot="1" x14ac:dyDescent="0.35">
      <c r="A5" s="9">
        <v>3</v>
      </c>
      <c r="B5" s="22" t="s">
        <v>36</v>
      </c>
      <c r="C5" s="33">
        <f t="shared" si="3"/>
        <v>0</v>
      </c>
      <c r="D5" s="34">
        <f t="shared" si="3"/>
        <v>0</v>
      </c>
      <c r="E5" s="34">
        <f t="shared" si="3"/>
        <v>0</v>
      </c>
      <c r="F5" s="40">
        <f t="shared" si="2"/>
        <v>1</v>
      </c>
      <c r="G5" s="23">
        <f t="shared" si="2"/>
        <v>8</v>
      </c>
      <c r="H5" s="23">
        <f t="shared" si="2"/>
        <v>40</v>
      </c>
      <c r="I5" s="24">
        <f t="shared" si="2"/>
        <v>160</v>
      </c>
      <c r="J5" s="17">
        <f t="shared" si="2"/>
        <v>560</v>
      </c>
      <c r="K5" s="18">
        <f t="shared" si="2"/>
        <v>1792</v>
      </c>
      <c r="L5" s="18">
        <f t="shared" si="2"/>
        <v>5376</v>
      </c>
      <c r="M5" s="18">
        <f t="shared" si="2"/>
        <v>15360</v>
      </c>
      <c r="N5" s="18">
        <f t="shared" si="2"/>
        <v>42240</v>
      </c>
      <c r="O5" s="30">
        <f t="shared" si="2"/>
        <v>112640</v>
      </c>
      <c r="P5" s="30">
        <f t="shared" si="2"/>
        <v>292864</v>
      </c>
      <c r="Q5" s="30">
        <f t="shared" si="2"/>
        <v>745472</v>
      </c>
    </row>
    <row r="6" spans="1:17" ht="35.4" customHeight="1" thickBot="1" x14ac:dyDescent="0.35">
      <c r="A6" s="9">
        <v>4</v>
      </c>
      <c r="B6" s="25" t="str">
        <f>A6&amp;"С"</f>
        <v>4С</v>
      </c>
      <c r="C6" s="31">
        <f t="shared" si="3"/>
        <v>0</v>
      </c>
      <c r="D6" s="26">
        <f t="shared" si="2"/>
        <v>0</v>
      </c>
      <c r="E6" s="26">
        <f t="shared" si="2"/>
        <v>0</v>
      </c>
      <c r="F6" s="26">
        <f t="shared" si="2"/>
        <v>0</v>
      </c>
      <c r="G6" s="26">
        <f t="shared" si="2"/>
        <v>1</v>
      </c>
      <c r="H6" s="26">
        <f t="shared" si="2"/>
        <v>10</v>
      </c>
      <c r="I6" s="45">
        <f t="shared" si="2"/>
        <v>60</v>
      </c>
      <c r="J6" s="17">
        <f t="shared" si="2"/>
        <v>280</v>
      </c>
      <c r="K6" s="18">
        <f t="shared" si="2"/>
        <v>1120</v>
      </c>
      <c r="L6" s="18">
        <f t="shared" si="2"/>
        <v>4032</v>
      </c>
      <c r="M6" s="18">
        <f t="shared" si="2"/>
        <v>13440</v>
      </c>
      <c r="N6" s="18">
        <f t="shared" si="2"/>
        <v>42240</v>
      </c>
      <c r="O6" s="30">
        <f t="shared" si="2"/>
        <v>126720</v>
      </c>
      <c r="P6" s="30">
        <f t="shared" si="2"/>
        <v>366080</v>
      </c>
      <c r="Q6" s="30">
        <f t="shared" si="2"/>
        <v>1025024</v>
      </c>
    </row>
    <row r="7" spans="1:17" ht="35.4" customHeight="1" thickBot="1" x14ac:dyDescent="0.35">
      <c r="A7" s="9">
        <v>5</v>
      </c>
      <c r="B7" s="10" t="str">
        <f t="shared" ref="B7:B14" si="4">A7&amp;"С"</f>
        <v>5С</v>
      </c>
      <c r="C7" s="33">
        <f t="shared" si="3"/>
        <v>0</v>
      </c>
      <c r="D7" s="34">
        <f t="shared" si="2"/>
        <v>0</v>
      </c>
      <c r="E7" s="34">
        <f t="shared" si="2"/>
        <v>0</v>
      </c>
      <c r="F7" s="34">
        <f t="shared" si="2"/>
        <v>0</v>
      </c>
      <c r="G7" s="34">
        <f t="shared" si="2"/>
        <v>0</v>
      </c>
      <c r="H7" s="34">
        <f t="shared" si="2"/>
        <v>1</v>
      </c>
      <c r="I7" s="35">
        <f t="shared" si="2"/>
        <v>12</v>
      </c>
      <c r="J7" s="17">
        <f t="shared" si="2"/>
        <v>84</v>
      </c>
      <c r="K7" s="18">
        <f t="shared" si="2"/>
        <v>448</v>
      </c>
      <c r="L7" s="18">
        <f t="shared" si="2"/>
        <v>2016</v>
      </c>
      <c r="M7" s="18">
        <f t="shared" si="2"/>
        <v>8064</v>
      </c>
      <c r="N7" s="18">
        <f t="shared" si="2"/>
        <v>29568</v>
      </c>
      <c r="O7" s="30">
        <f t="shared" si="2"/>
        <v>101376</v>
      </c>
      <c r="P7" s="30">
        <f t="shared" si="2"/>
        <v>329472</v>
      </c>
      <c r="Q7" s="30">
        <f t="shared" si="2"/>
        <v>1025024</v>
      </c>
    </row>
    <row r="8" spans="1:17" ht="35.4" customHeight="1" thickBot="1" x14ac:dyDescent="0.35">
      <c r="A8" s="9">
        <v>6</v>
      </c>
      <c r="B8" s="43" t="str">
        <f t="shared" si="4"/>
        <v>6С</v>
      </c>
      <c r="C8" s="31">
        <f t="shared" si="3"/>
        <v>0</v>
      </c>
      <c r="D8" s="26">
        <f t="shared" si="2"/>
        <v>0</v>
      </c>
      <c r="E8" s="26">
        <f t="shared" si="2"/>
        <v>0</v>
      </c>
      <c r="F8" s="26">
        <f t="shared" si="2"/>
        <v>0</v>
      </c>
      <c r="G8" s="26">
        <f t="shared" si="2"/>
        <v>0</v>
      </c>
      <c r="H8" s="26">
        <f t="shared" si="2"/>
        <v>0</v>
      </c>
      <c r="I8" s="26">
        <f t="shared" si="2"/>
        <v>1</v>
      </c>
      <c r="J8" s="18">
        <f t="shared" si="2"/>
        <v>14</v>
      </c>
      <c r="K8" s="18">
        <f t="shared" si="2"/>
        <v>112</v>
      </c>
      <c r="L8" s="18">
        <f t="shared" si="2"/>
        <v>672</v>
      </c>
      <c r="M8" s="18">
        <f t="shared" si="2"/>
        <v>3360</v>
      </c>
      <c r="N8" s="18">
        <f t="shared" si="2"/>
        <v>14784</v>
      </c>
      <c r="O8" s="30">
        <f t="shared" si="2"/>
        <v>59136</v>
      </c>
      <c r="P8" s="30">
        <f t="shared" si="2"/>
        <v>219648</v>
      </c>
      <c r="Q8" s="30">
        <f t="shared" si="2"/>
        <v>768768</v>
      </c>
    </row>
    <row r="9" spans="1:17" ht="35.4" customHeight="1" thickBot="1" x14ac:dyDescent="0.35">
      <c r="A9" s="9">
        <v>7</v>
      </c>
      <c r="B9" s="25" t="str">
        <f t="shared" si="4"/>
        <v>7С</v>
      </c>
      <c r="C9" s="32">
        <f t="shared" si="3"/>
        <v>0</v>
      </c>
      <c r="D9" s="18">
        <f t="shared" si="2"/>
        <v>0</v>
      </c>
      <c r="E9" s="18">
        <f t="shared" si="2"/>
        <v>0</v>
      </c>
      <c r="F9" s="18">
        <f t="shared" si="2"/>
        <v>0</v>
      </c>
      <c r="G9" s="18">
        <f t="shared" si="2"/>
        <v>0</v>
      </c>
      <c r="H9" s="18">
        <f t="shared" si="2"/>
        <v>0</v>
      </c>
      <c r="I9" s="18">
        <f t="shared" si="2"/>
        <v>0</v>
      </c>
      <c r="J9" s="18">
        <f t="shared" si="2"/>
        <v>1</v>
      </c>
      <c r="K9" s="18">
        <f t="shared" si="2"/>
        <v>16</v>
      </c>
      <c r="L9" s="18">
        <f t="shared" si="2"/>
        <v>144</v>
      </c>
      <c r="M9" s="18">
        <f t="shared" si="2"/>
        <v>960</v>
      </c>
      <c r="N9" s="18">
        <f t="shared" si="2"/>
        <v>5280</v>
      </c>
      <c r="O9" s="30">
        <f t="shared" si="2"/>
        <v>25344</v>
      </c>
      <c r="P9" s="30">
        <f t="shared" si="2"/>
        <v>109824</v>
      </c>
      <c r="Q9" s="30">
        <f t="shared" si="2"/>
        <v>439296</v>
      </c>
    </row>
    <row r="10" spans="1:17" ht="35.4" customHeight="1" thickBot="1" x14ac:dyDescent="0.35">
      <c r="A10" s="9">
        <v>8</v>
      </c>
      <c r="B10" s="25" t="str">
        <f t="shared" si="4"/>
        <v>8С</v>
      </c>
      <c r="C10" s="32">
        <f t="shared" si="3"/>
        <v>0</v>
      </c>
      <c r="D10" s="18">
        <f t="shared" si="2"/>
        <v>0</v>
      </c>
      <c r="E10" s="18">
        <f t="shared" si="2"/>
        <v>0</v>
      </c>
      <c r="F10" s="18">
        <f t="shared" si="2"/>
        <v>0</v>
      </c>
      <c r="G10" s="18">
        <f t="shared" si="2"/>
        <v>0</v>
      </c>
      <c r="H10" s="18">
        <f t="shared" si="2"/>
        <v>0</v>
      </c>
      <c r="I10" s="18">
        <f t="shared" si="2"/>
        <v>0</v>
      </c>
      <c r="J10" s="18">
        <f t="shared" si="2"/>
        <v>0</v>
      </c>
      <c r="K10" s="18">
        <f t="shared" si="2"/>
        <v>1</v>
      </c>
      <c r="L10" s="18">
        <f t="shared" si="2"/>
        <v>18</v>
      </c>
      <c r="M10" s="18">
        <f t="shared" si="2"/>
        <v>180</v>
      </c>
      <c r="N10" s="18">
        <f t="shared" si="2"/>
        <v>1320</v>
      </c>
      <c r="O10" s="30">
        <f t="shared" si="2"/>
        <v>7920</v>
      </c>
      <c r="P10" s="30">
        <f t="shared" si="2"/>
        <v>41184</v>
      </c>
      <c r="Q10" s="30">
        <f t="shared" si="2"/>
        <v>192192</v>
      </c>
    </row>
    <row r="11" spans="1:17" ht="35.4" customHeight="1" thickBot="1" x14ac:dyDescent="0.35">
      <c r="A11" s="9">
        <v>9</v>
      </c>
      <c r="B11" s="25" t="str">
        <f t="shared" si="4"/>
        <v>9С</v>
      </c>
      <c r="C11" s="32">
        <f t="shared" si="3"/>
        <v>0</v>
      </c>
      <c r="D11" s="18">
        <f t="shared" si="2"/>
        <v>0</v>
      </c>
      <c r="E11" s="18">
        <f t="shared" si="2"/>
        <v>0</v>
      </c>
      <c r="F11" s="18">
        <f t="shared" si="2"/>
        <v>0</v>
      </c>
      <c r="G11" s="18">
        <f t="shared" si="2"/>
        <v>0</v>
      </c>
      <c r="H11" s="18">
        <f t="shared" si="2"/>
        <v>0</v>
      </c>
      <c r="I11" s="18">
        <f t="shared" si="2"/>
        <v>0</v>
      </c>
      <c r="J11" s="18">
        <f t="shared" si="2"/>
        <v>0</v>
      </c>
      <c r="K11" s="18">
        <f t="shared" si="2"/>
        <v>0</v>
      </c>
      <c r="L11" s="18">
        <f t="shared" si="2"/>
        <v>1</v>
      </c>
      <c r="M11" s="18">
        <f t="shared" si="2"/>
        <v>20</v>
      </c>
      <c r="N11" s="18">
        <f t="shared" si="2"/>
        <v>220</v>
      </c>
      <c r="O11" s="30">
        <f t="shared" si="2"/>
        <v>1760</v>
      </c>
      <c r="P11" s="30">
        <f t="shared" si="2"/>
        <v>11440</v>
      </c>
      <c r="Q11" s="30">
        <f t="shared" si="2"/>
        <v>64064</v>
      </c>
    </row>
    <row r="12" spans="1:17" ht="35.4" customHeight="1" thickBot="1" x14ac:dyDescent="0.35">
      <c r="A12" s="9">
        <v>10</v>
      </c>
      <c r="B12" s="25" t="str">
        <f t="shared" si="4"/>
        <v>10С</v>
      </c>
      <c r="C12" s="32">
        <f t="shared" si="3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1</v>
      </c>
      <c r="N12" s="18">
        <f t="shared" si="2"/>
        <v>22</v>
      </c>
      <c r="O12" s="30">
        <f t="shared" si="2"/>
        <v>264</v>
      </c>
      <c r="P12" s="30">
        <f t="shared" si="2"/>
        <v>2288</v>
      </c>
      <c r="Q12" s="30">
        <f t="shared" si="2"/>
        <v>16016</v>
      </c>
    </row>
    <row r="13" spans="1:17" ht="35.4" customHeight="1" thickBot="1" x14ac:dyDescent="0.35">
      <c r="A13" s="9">
        <v>11</v>
      </c>
      <c r="B13" s="25" t="str">
        <f t="shared" si="4"/>
        <v>11С</v>
      </c>
      <c r="C13" s="32">
        <f t="shared" si="3"/>
        <v>0</v>
      </c>
      <c r="D13" s="18">
        <f t="shared" si="2"/>
        <v>0</v>
      </c>
      <c r="E13" s="18">
        <f t="shared" si="2"/>
        <v>0</v>
      </c>
      <c r="F13" s="18">
        <f t="shared" si="2"/>
        <v>0</v>
      </c>
      <c r="G13" s="18">
        <f t="shared" si="2"/>
        <v>0</v>
      </c>
      <c r="H13" s="18">
        <f t="shared" si="2"/>
        <v>0</v>
      </c>
      <c r="I13" s="18">
        <f t="shared" si="2"/>
        <v>0</v>
      </c>
      <c r="J13" s="18">
        <f t="shared" si="2"/>
        <v>0</v>
      </c>
      <c r="K13" s="18">
        <f t="shared" si="2"/>
        <v>0</v>
      </c>
      <c r="L13" s="18">
        <f t="shared" si="2"/>
        <v>0</v>
      </c>
      <c r="M13" s="18">
        <f t="shared" si="2"/>
        <v>0</v>
      </c>
      <c r="N13" s="18">
        <f t="shared" si="2"/>
        <v>1</v>
      </c>
      <c r="O13" s="30">
        <f t="shared" si="2"/>
        <v>24</v>
      </c>
      <c r="P13" s="30">
        <f t="shared" si="2"/>
        <v>312</v>
      </c>
      <c r="Q13" s="30">
        <f t="shared" si="2"/>
        <v>2912</v>
      </c>
    </row>
    <row r="14" spans="1:17" ht="35.4" customHeight="1" thickBot="1" x14ac:dyDescent="0.35">
      <c r="A14" s="9">
        <v>12</v>
      </c>
      <c r="B14" s="10" t="str">
        <f t="shared" si="4"/>
        <v>12С</v>
      </c>
      <c r="C14" s="33">
        <f t="shared" si="3"/>
        <v>0</v>
      </c>
      <c r="D14" s="34">
        <f t="shared" si="2"/>
        <v>0</v>
      </c>
      <c r="E14" s="34">
        <f t="shared" si="2"/>
        <v>0</v>
      </c>
      <c r="F14" s="34">
        <f t="shared" si="2"/>
        <v>0</v>
      </c>
      <c r="G14" s="34">
        <f t="shared" si="2"/>
        <v>0</v>
      </c>
      <c r="H14" s="34">
        <f t="shared" si="2"/>
        <v>0</v>
      </c>
      <c r="I14" s="34">
        <f t="shared" si="2"/>
        <v>0</v>
      </c>
      <c r="J14" s="34">
        <f t="shared" si="2"/>
        <v>0</v>
      </c>
      <c r="K14" s="34">
        <f t="shared" si="2"/>
        <v>0</v>
      </c>
      <c r="L14" s="34">
        <f t="shared" si="2"/>
        <v>0</v>
      </c>
      <c r="M14" s="34">
        <f t="shared" si="2"/>
        <v>0</v>
      </c>
      <c r="N14" s="34">
        <f t="shared" si="2"/>
        <v>0</v>
      </c>
      <c r="O14" s="35">
        <f t="shared" si="2"/>
        <v>1</v>
      </c>
      <c r="P14" s="35">
        <f t="shared" si="2"/>
        <v>26</v>
      </c>
      <c r="Q14" s="35">
        <f t="shared" si="2"/>
        <v>364</v>
      </c>
    </row>
  </sheetData>
  <conditionalFormatting sqref="C2:Q14">
    <cfRule type="cellIs" dxfId="7" priority="1" operator="greaterThan">
      <formula>0</formula>
    </cfRule>
    <cfRule type="cellIs" dxfId="6" priority="3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AD69-D4CC-4B5F-9CD7-7AE857CE709F}">
  <dimension ref="A1:K50"/>
  <sheetViews>
    <sheetView workbookViewId="0">
      <selection activeCell="H15" sqref="H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>
        <v>1</v>
      </c>
      <c r="B2">
        <v>2</v>
      </c>
      <c r="C2">
        <v>2</v>
      </c>
      <c r="D2">
        <f>B2*C2</f>
        <v>4</v>
      </c>
      <c r="E2">
        <f>B2*B2</f>
        <v>4</v>
      </c>
      <c r="F2">
        <f t="shared" ref="F2:F12" si="0">$B$17+$B$18*B2</f>
        <v>3.3273638968481376</v>
      </c>
      <c r="G2">
        <f>F2-C2</f>
        <v>1.3273638968481376</v>
      </c>
      <c r="H2">
        <f>G2*G2</f>
        <v>1.7618949146558733</v>
      </c>
      <c r="I2">
        <f>F2+$H$15</f>
        <v>4.5328090998896595</v>
      </c>
      <c r="J2">
        <f>F2-$H$15</f>
        <v>2.1219186938066157</v>
      </c>
      <c r="K2">
        <f>IF(AND(C2&lt;=I2,C2&gt;=J2),1,0)</f>
        <v>0</v>
      </c>
    </row>
    <row r="3" spans="1:11" x14ac:dyDescent="0.3">
      <c r="A3">
        <v>2</v>
      </c>
      <c r="B3">
        <v>3</v>
      </c>
      <c r="C3">
        <v>4</v>
      </c>
      <c r="D3">
        <f t="shared" ref="D3:D12" si="1">B3*C3</f>
        <v>12</v>
      </c>
      <c r="E3">
        <f t="shared" ref="E3:E12" si="2">B3*B3</f>
        <v>9</v>
      </c>
      <c r="F3">
        <f t="shared" si="0"/>
        <v>3.5069842406876788</v>
      </c>
      <c r="G3">
        <f t="shared" ref="G3:G12" si="3">F3-C3</f>
        <v>-0.49301575931232122</v>
      </c>
      <c r="H3">
        <f t="shared" ref="H3:H12" si="4">G3*G3</f>
        <v>0.24306453893030466</v>
      </c>
      <c r="I3">
        <f t="shared" ref="I3:I12" si="5">F3+$H$15</f>
        <v>4.7124294437292011</v>
      </c>
      <c r="J3">
        <f t="shared" ref="J3:J12" si="6">F3-$H$15</f>
        <v>2.3015390376461564</v>
      </c>
      <c r="K3">
        <f t="shared" ref="K3:K12" si="7">IF(AND(C3&lt;=I3,C3&gt;=J3),1,0)</f>
        <v>1</v>
      </c>
    </row>
    <row r="4" spans="1:11" x14ac:dyDescent="0.3">
      <c r="A4">
        <v>3</v>
      </c>
      <c r="B4">
        <v>5</v>
      </c>
      <c r="C4">
        <v>4</v>
      </c>
      <c r="D4">
        <f t="shared" si="1"/>
        <v>20</v>
      </c>
      <c r="E4">
        <f t="shared" si="2"/>
        <v>25</v>
      </c>
      <c r="F4">
        <f t="shared" si="0"/>
        <v>3.866224928366762</v>
      </c>
      <c r="G4">
        <f t="shared" si="3"/>
        <v>-0.13377507163323799</v>
      </c>
      <c r="H4">
        <f t="shared" si="4"/>
        <v>1.7895769790477953E-2</v>
      </c>
      <c r="I4">
        <f t="shared" si="5"/>
        <v>5.0716701314082844</v>
      </c>
      <c r="J4">
        <f t="shared" si="6"/>
        <v>2.6607797253252397</v>
      </c>
      <c r="K4">
        <f t="shared" si="7"/>
        <v>1</v>
      </c>
    </row>
    <row r="5" spans="1:11" x14ac:dyDescent="0.3">
      <c r="A5">
        <v>4</v>
      </c>
      <c r="B5">
        <v>7</v>
      </c>
      <c r="C5">
        <v>5</v>
      </c>
      <c r="D5">
        <f t="shared" si="1"/>
        <v>35</v>
      </c>
      <c r="E5">
        <f t="shared" si="2"/>
        <v>49</v>
      </c>
      <c r="F5">
        <f t="shared" si="0"/>
        <v>4.2254656160458453</v>
      </c>
      <c r="G5">
        <f t="shared" si="3"/>
        <v>-0.77453438395415475</v>
      </c>
      <c r="H5">
        <f t="shared" si="4"/>
        <v>0.59990351192724201</v>
      </c>
      <c r="I5">
        <f t="shared" si="5"/>
        <v>5.4309108190873676</v>
      </c>
      <c r="J5">
        <f t="shared" si="6"/>
        <v>3.0200204130043229</v>
      </c>
      <c r="K5">
        <f t="shared" si="7"/>
        <v>1</v>
      </c>
    </row>
    <row r="6" spans="1:11" x14ac:dyDescent="0.3">
      <c r="A6">
        <v>5</v>
      </c>
      <c r="B6">
        <v>9</v>
      </c>
      <c r="C6">
        <v>4</v>
      </c>
      <c r="D6">
        <f t="shared" si="1"/>
        <v>36</v>
      </c>
      <c r="E6">
        <f t="shared" si="2"/>
        <v>81</v>
      </c>
      <c r="F6">
        <f t="shared" si="0"/>
        <v>4.5847063037249285</v>
      </c>
      <c r="G6">
        <f t="shared" si="3"/>
        <v>0.58470630372492849</v>
      </c>
      <c r="H6">
        <f t="shared" si="4"/>
        <v>0.34188146161566835</v>
      </c>
      <c r="I6">
        <f t="shared" si="5"/>
        <v>5.7901515067664509</v>
      </c>
      <c r="J6">
        <f t="shared" si="6"/>
        <v>3.3792611006834061</v>
      </c>
      <c r="K6">
        <f t="shared" si="7"/>
        <v>1</v>
      </c>
    </row>
    <row r="7" spans="1:11" x14ac:dyDescent="0.3">
      <c r="A7">
        <v>6</v>
      </c>
      <c r="B7">
        <v>12</v>
      </c>
      <c r="C7">
        <v>7</v>
      </c>
      <c r="D7">
        <f t="shared" si="1"/>
        <v>84</v>
      </c>
      <c r="E7">
        <f t="shared" si="2"/>
        <v>144</v>
      </c>
      <c r="F7">
        <f t="shared" si="0"/>
        <v>5.1235673352435533</v>
      </c>
      <c r="G7">
        <f t="shared" si="3"/>
        <v>-1.8764326647564467</v>
      </c>
      <c r="H7">
        <f t="shared" si="4"/>
        <v>3.5209995453649792</v>
      </c>
      <c r="I7">
        <f t="shared" si="5"/>
        <v>6.3290125382850757</v>
      </c>
      <c r="J7">
        <f t="shared" si="6"/>
        <v>3.918122132202031</v>
      </c>
      <c r="K7">
        <f t="shared" si="7"/>
        <v>0</v>
      </c>
    </row>
    <row r="8" spans="1:11" x14ac:dyDescent="0.3">
      <c r="A8">
        <v>7</v>
      </c>
      <c r="B8">
        <v>15</v>
      </c>
      <c r="C8">
        <v>4</v>
      </c>
      <c r="D8">
        <f t="shared" si="1"/>
        <v>60</v>
      </c>
      <c r="E8">
        <f t="shared" si="2"/>
        <v>225</v>
      </c>
      <c r="F8">
        <f t="shared" si="0"/>
        <v>5.6624283667621773</v>
      </c>
      <c r="G8">
        <f t="shared" si="3"/>
        <v>1.6624283667621773</v>
      </c>
      <c r="H8">
        <f t="shared" si="4"/>
        <v>2.7636680746155604</v>
      </c>
      <c r="I8">
        <f t="shared" si="5"/>
        <v>6.8678735698036997</v>
      </c>
      <c r="J8">
        <f t="shared" si="6"/>
        <v>4.456983163720655</v>
      </c>
      <c r="K8">
        <f t="shared" si="7"/>
        <v>0</v>
      </c>
    </row>
    <row r="9" spans="1:11" x14ac:dyDescent="0.3">
      <c r="A9">
        <v>8</v>
      </c>
      <c r="B9">
        <v>17</v>
      </c>
      <c r="C9">
        <v>5</v>
      </c>
      <c r="D9">
        <f t="shared" si="1"/>
        <v>85</v>
      </c>
      <c r="E9">
        <f t="shared" si="2"/>
        <v>289</v>
      </c>
      <c r="F9">
        <f t="shared" si="0"/>
        <v>6.0216690544412605</v>
      </c>
      <c r="G9">
        <f t="shared" si="3"/>
        <v>1.0216690544412605</v>
      </c>
      <c r="H9">
        <f t="shared" si="4"/>
        <v>1.0438076568028993</v>
      </c>
      <c r="I9">
        <f t="shared" si="5"/>
        <v>7.2271142574827829</v>
      </c>
      <c r="J9">
        <f t="shared" si="6"/>
        <v>4.8162238513997382</v>
      </c>
      <c r="K9">
        <f t="shared" si="7"/>
        <v>1</v>
      </c>
    </row>
    <row r="10" spans="1:11" x14ac:dyDescent="0.3">
      <c r="A10">
        <v>9</v>
      </c>
      <c r="B10">
        <v>17</v>
      </c>
      <c r="C10">
        <v>7</v>
      </c>
      <c r="D10">
        <f t="shared" si="1"/>
        <v>119</v>
      </c>
      <c r="E10">
        <f t="shared" si="2"/>
        <v>289</v>
      </c>
      <c r="F10">
        <f t="shared" si="0"/>
        <v>6.0216690544412605</v>
      </c>
      <c r="G10">
        <f t="shared" si="3"/>
        <v>-0.97833094555873945</v>
      </c>
      <c r="H10">
        <f t="shared" si="4"/>
        <v>0.95713143903785725</v>
      </c>
      <c r="I10">
        <f t="shared" si="5"/>
        <v>7.2271142574827829</v>
      </c>
      <c r="J10">
        <f t="shared" si="6"/>
        <v>4.8162238513997382</v>
      </c>
      <c r="K10">
        <f t="shared" si="7"/>
        <v>1</v>
      </c>
    </row>
    <row r="11" spans="1:11" x14ac:dyDescent="0.3">
      <c r="A11">
        <v>10</v>
      </c>
      <c r="B11">
        <v>20</v>
      </c>
      <c r="C11">
        <v>8</v>
      </c>
      <c r="D11">
        <f t="shared" si="1"/>
        <v>160</v>
      </c>
      <c r="E11">
        <f t="shared" si="2"/>
        <v>400</v>
      </c>
      <c r="F11">
        <f t="shared" si="0"/>
        <v>6.5605300859598845</v>
      </c>
      <c r="G11">
        <f t="shared" si="3"/>
        <v>-1.4394699140401155</v>
      </c>
      <c r="H11">
        <f t="shared" si="4"/>
        <v>2.0720736334266574</v>
      </c>
      <c r="I11">
        <f t="shared" si="5"/>
        <v>7.7659752890014069</v>
      </c>
      <c r="J11">
        <f t="shared" si="6"/>
        <v>5.3550848829183622</v>
      </c>
      <c r="K11">
        <f t="shared" si="7"/>
        <v>0</v>
      </c>
    </row>
    <row r="12" spans="1:11" x14ac:dyDescent="0.3">
      <c r="A12">
        <v>11</v>
      </c>
      <c r="B12">
        <v>23</v>
      </c>
      <c r="C12">
        <v>6</v>
      </c>
      <c r="D12">
        <f t="shared" si="1"/>
        <v>138</v>
      </c>
      <c r="E12">
        <f t="shared" si="2"/>
        <v>529</v>
      </c>
      <c r="F12">
        <f t="shared" si="0"/>
        <v>7.0993911174785094</v>
      </c>
      <c r="G12">
        <f t="shared" si="3"/>
        <v>1.0993911174785094</v>
      </c>
      <c r="H12">
        <f t="shared" si="4"/>
        <v>1.2086608291906455</v>
      </c>
      <c r="I12">
        <f t="shared" si="5"/>
        <v>8.3048363205200317</v>
      </c>
      <c r="J12">
        <f t="shared" si="6"/>
        <v>5.893945914436987</v>
      </c>
      <c r="K12">
        <f t="shared" si="7"/>
        <v>1</v>
      </c>
    </row>
    <row r="14" spans="1:11" x14ac:dyDescent="0.3">
      <c r="B14">
        <f>SUM(B2:B12)</f>
        <v>130</v>
      </c>
      <c r="C14">
        <f>SUM(C2:C12)</f>
        <v>56</v>
      </c>
      <c r="D14">
        <f>SUM(D2:D12)</f>
        <v>753</v>
      </c>
      <c r="E14">
        <f>SUM(E2:E12)</f>
        <v>2044</v>
      </c>
      <c r="G14" t="s">
        <v>8</v>
      </c>
      <c r="H14">
        <f>SUM(H2:H12)</f>
        <v>14.530981375358166</v>
      </c>
      <c r="K14" t="str">
        <f>SUM(K2:K12)/A12*100&amp;"%"</f>
        <v>63,6363636363636%</v>
      </c>
    </row>
    <row r="15" spans="1:11" x14ac:dyDescent="0.3">
      <c r="G15" t="s">
        <v>7</v>
      </c>
      <c r="H15">
        <f>SQRT(H14/(A12-2+1))</f>
        <v>1.2054452030415221</v>
      </c>
    </row>
    <row r="17" spans="1:8" x14ac:dyDescent="0.3">
      <c r="A17" t="s">
        <v>5</v>
      </c>
      <c r="B17">
        <f>(C14*E14-D14*B14)/(B20)</f>
        <v>2.9681232091690544</v>
      </c>
    </row>
    <row r="18" spans="1:8" x14ac:dyDescent="0.3">
      <c r="A18" t="s">
        <v>6</v>
      </c>
      <c r="B18">
        <f>(A12*D14-B14*C14)/B20</f>
        <v>0.17962034383954154</v>
      </c>
    </row>
    <row r="20" spans="1:8" x14ac:dyDescent="0.3">
      <c r="B20">
        <f>A12*E14-B14*B14</f>
        <v>5584</v>
      </c>
    </row>
    <row r="24" spans="1:8" x14ac:dyDescent="0.3">
      <c r="C24">
        <v>0</v>
      </c>
      <c r="D24">
        <f>$B$17+$B$18*C24</f>
        <v>2.9681232091690544</v>
      </c>
      <c r="E24">
        <f>D24+$H$15</f>
        <v>4.1735684122105763</v>
      </c>
      <c r="F24">
        <f>D24-$H$15</f>
        <v>1.7626780061275322</v>
      </c>
      <c r="G24">
        <f>F24+2*$H$15</f>
        <v>4.1735684122105763</v>
      </c>
      <c r="H24">
        <f>F24-2*$H$15</f>
        <v>-0.64821239995551205</v>
      </c>
    </row>
    <row r="25" spans="1:8" x14ac:dyDescent="0.3">
      <c r="C25">
        <v>1</v>
      </c>
      <c r="D25">
        <f>$B$17+$B$18*C25</f>
        <v>3.147743553008596</v>
      </c>
      <c r="E25">
        <f t="shared" ref="E25:E50" si="8">D25+$H$15</f>
        <v>4.3531887560501179</v>
      </c>
      <c r="F25">
        <f t="shared" ref="F25:F50" si="9">D25-$H$15</f>
        <v>1.9422983499670738</v>
      </c>
      <c r="G25">
        <f t="shared" ref="G25:G50" si="10">F25+2*$H$15</f>
        <v>4.3531887560501179</v>
      </c>
      <c r="H25">
        <f t="shared" ref="H25:H50" si="11">F25-2*$H$15</f>
        <v>-0.46859205611597043</v>
      </c>
    </row>
    <row r="26" spans="1:8" x14ac:dyDescent="0.3">
      <c r="C26">
        <v>2</v>
      </c>
      <c r="D26">
        <f t="shared" ref="D26:D50" si="12">$B$17+$B$18*C26</f>
        <v>3.3273638968481376</v>
      </c>
      <c r="E26">
        <f t="shared" si="8"/>
        <v>4.5328090998896595</v>
      </c>
      <c r="F26">
        <f t="shared" si="9"/>
        <v>2.1219186938066157</v>
      </c>
      <c r="G26">
        <f t="shared" si="10"/>
        <v>4.5328090998896595</v>
      </c>
      <c r="H26">
        <f t="shared" si="11"/>
        <v>-0.28897171227642859</v>
      </c>
    </row>
    <row r="27" spans="1:8" x14ac:dyDescent="0.3">
      <c r="C27">
        <v>3</v>
      </c>
      <c r="D27">
        <f t="shared" si="12"/>
        <v>3.5069842406876788</v>
      </c>
      <c r="E27">
        <f t="shared" si="8"/>
        <v>4.7124294437292011</v>
      </c>
      <c r="F27">
        <f t="shared" si="9"/>
        <v>2.3015390376461564</v>
      </c>
      <c r="G27">
        <f t="shared" si="10"/>
        <v>4.7124294437292011</v>
      </c>
      <c r="H27">
        <f t="shared" si="11"/>
        <v>-0.10935136843688786</v>
      </c>
    </row>
    <row r="28" spans="1:8" x14ac:dyDescent="0.3">
      <c r="C28">
        <v>4</v>
      </c>
      <c r="D28">
        <f t="shared" si="12"/>
        <v>3.6866045845272204</v>
      </c>
      <c r="E28">
        <f t="shared" si="8"/>
        <v>4.8920497875687428</v>
      </c>
      <c r="F28">
        <f t="shared" si="9"/>
        <v>2.481159381485698</v>
      </c>
      <c r="G28">
        <f t="shared" si="10"/>
        <v>4.8920497875687428</v>
      </c>
      <c r="H28">
        <f t="shared" si="11"/>
        <v>7.0268975402653755E-2</v>
      </c>
    </row>
    <row r="29" spans="1:8" x14ac:dyDescent="0.3">
      <c r="C29">
        <v>5</v>
      </c>
      <c r="D29">
        <f t="shared" si="12"/>
        <v>3.866224928366762</v>
      </c>
      <c r="E29">
        <f t="shared" si="8"/>
        <v>5.0716701314082844</v>
      </c>
      <c r="F29">
        <f t="shared" si="9"/>
        <v>2.6607797253252397</v>
      </c>
      <c r="G29">
        <f t="shared" si="10"/>
        <v>5.0716701314082844</v>
      </c>
      <c r="H29">
        <f t="shared" si="11"/>
        <v>0.24988931924219537</v>
      </c>
    </row>
    <row r="30" spans="1:8" x14ac:dyDescent="0.3">
      <c r="C30">
        <v>6</v>
      </c>
      <c r="D30">
        <f t="shared" si="12"/>
        <v>4.0458452722063036</v>
      </c>
      <c r="E30">
        <f t="shared" si="8"/>
        <v>5.251290475247826</v>
      </c>
      <c r="F30">
        <f t="shared" si="9"/>
        <v>2.8404000691647813</v>
      </c>
      <c r="G30">
        <f t="shared" si="10"/>
        <v>5.251290475247826</v>
      </c>
      <c r="H30">
        <f t="shared" si="11"/>
        <v>0.42950966308173699</v>
      </c>
    </row>
    <row r="31" spans="1:8" x14ac:dyDescent="0.3">
      <c r="C31">
        <v>7</v>
      </c>
      <c r="D31">
        <f t="shared" si="12"/>
        <v>4.2254656160458453</v>
      </c>
      <c r="E31">
        <f t="shared" si="8"/>
        <v>5.4309108190873676</v>
      </c>
      <c r="F31">
        <f t="shared" si="9"/>
        <v>3.0200204130043229</v>
      </c>
      <c r="G31">
        <f t="shared" si="10"/>
        <v>5.4309108190873676</v>
      </c>
      <c r="H31">
        <f t="shared" si="11"/>
        <v>0.60913000692127861</v>
      </c>
    </row>
    <row r="32" spans="1:8" x14ac:dyDescent="0.3">
      <c r="C32">
        <v>8</v>
      </c>
      <c r="D32">
        <f t="shared" si="12"/>
        <v>4.4050859598853869</v>
      </c>
      <c r="E32">
        <f t="shared" si="8"/>
        <v>5.6105311629269092</v>
      </c>
      <c r="F32">
        <f t="shared" si="9"/>
        <v>3.1996407568438645</v>
      </c>
      <c r="G32">
        <f t="shared" si="10"/>
        <v>5.6105311629269092</v>
      </c>
      <c r="H32">
        <f t="shared" si="11"/>
        <v>0.78875035076082023</v>
      </c>
    </row>
    <row r="33" spans="3:8" x14ac:dyDescent="0.3">
      <c r="C33">
        <v>9</v>
      </c>
      <c r="D33">
        <f t="shared" si="12"/>
        <v>4.5847063037249285</v>
      </c>
      <c r="E33">
        <f t="shared" si="8"/>
        <v>5.7901515067664509</v>
      </c>
      <c r="F33">
        <f t="shared" si="9"/>
        <v>3.3792611006834061</v>
      </c>
      <c r="G33">
        <f t="shared" si="10"/>
        <v>5.7901515067664509</v>
      </c>
      <c r="H33">
        <f t="shared" si="11"/>
        <v>0.96837069460036185</v>
      </c>
    </row>
    <row r="34" spans="3:8" x14ac:dyDescent="0.3">
      <c r="C34">
        <v>10</v>
      </c>
      <c r="D34">
        <f t="shared" si="12"/>
        <v>4.7643266475644701</v>
      </c>
      <c r="E34">
        <f t="shared" si="8"/>
        <v>5.9697718506059925</v>
      </c>
      <c r="F34">
        <f t="shared" si="9"/>
        <v>3.5588814445229477</v>
      </c>
      <c r="G34">
        <f t="shared" si="10"/>
        <v>5.9697718506059925</v>
      </c>
      <c r="H34">
        <f t="shared" si="11"/>
        <v>1.1479910384399035</v>
      </c>
    </row>
    <row r="35" spans="3:8" x14ac:dyDescent="0.3">
      <c r="C35">
        <v>11</v>
      </c>
      <c r="D35">
        <f t="shared" si="12"/>
        <v>4.9439469914040117</v>
      </c>
      <c r="E35">
        <f t="shared" si="8"/>
        <v>6.1493921944455341</v>
      </c>
      <c r="F35">
        <f t="shared" si="9"/>
        <v>3.7385017883624894</v>
      </c>
      <c r="G35">
        <f t="shared" si="10"/>
        <v>6.1493921944455341</v>
      </c>
      <c r="H35">
        <f t="shared" si="11"/>
        <v>1.3276113822794451</v>
      </c>
    </row>
    <row r="36" spans="3:8" x14ac:dyDescent="0.3">
      <c r="C36">
        <v>12</v>
      </c>
      <c r="D36">
        <f t="shared" si="12"/>
        <v>5.1235673352435533</v>
      </c>
      <c r="E36">
        <f t="shared" si="8"/>
        <v>6.3290125382850757</v>
      </c>
      <c r="F36">
        <f t="shared" si="9"/>
        <v>3.918122132202031</v>
      </c>
      <c r="G36">
        <f t="shared" si="10"/>
        <v>6.3290125382850757</v>
      </c>
      <c r="H36">
        <f t="shared" si="11"/>
        <v>1.5072317261189867</v>
      </c>
    </row>
    <row r="37" spans="3:8" x14ac:dyDescent="0.3">
      <c r="C37">
        <v>13</v>
      </c>
      <c r="D37">
        <f t="shared" si="12"/>
        <v>5.303187679083095</v>
      </c>
      <c r="E37">
        <f t="shared" si="8"/>
        <v>6.5086328821246173</v>
      </c>
      <c r="F37">
        <f t="shared" si="9"/>
        <v>4.0977424760415726</v>
      </c>
      <c r="G37">
        <f t="shared" si="10"/>
        <v>6.5086328821246173</v>
      </c>
      <c r="H37">
        <f t="shared" si="11"/>
        <v>1.6868520699585283</v>
      </c>
    </row>
    <row r="38" spans="3:8" x14ac:dyDescent="0.3">
      <c r="C38">
        <v>14</v>
      </c>
      <c r="D38">
        <f t="shared" si="12"/>
        <v>5.4828080229226357</v>
      </c>
      <c r="E38">
        <f t="shared" si="8"/>
        <v>6.6882532259641581</v>
      </c>
      <c r="F38">
        <f t="shared" si="9"/>
        <v>4.2773628198811133</v>
      </c>
      <c r="G38">
        <f t="shared" si="10"/>
        <v>6.6882532259641572</v>
      </c>
      <c r="H38">
        <f t="shared" si="11"/>
        <v>1.8664724137980691</v>
      </c>
    </row>
    <row r="39" spans="3:8" x14ac:dyDescent="0.3">
      <c r="C39">
        <v>15</v>
      </c>
      <c r="D39">
        <f t="shared" si="12"/>
        <v>5.6624283667621773</v>
      </c>
      <c r="E39">
        <f t="shared" si="8"/>
        <v>6.8678735698036997</v>
      </c>
      <c r="F39">
        <f t="shared" si="9"/>
        <v>4.456983163720655</v>
      </c>
      <c r="G39">
        <f t="shared" si="10"/>
        <v>6.8678735698036988</v>
      </c>
      <c r="H39">
        <f t="shared" si="11"/>
        <v>2.0460927576376107</v>
      </c>
    </row>
    <row r="40" spans="3:8" x14ac:dyDescent="0.3">
      <c r="C40">
        <v>16</v>
      </c>
      <c r="D40">
        <f t="shared" si="12"/>
        <v>5.8420487106017189</v>
      </c>
      <c r="E40">
        <f t="shared" si="8"/>
        <v>7.0474939136432413</v>
      </c>
      <c r="F40">
        <f t="shared" si="9"/>
        <v>4.6366035075601966</v>
      </c>
      <c r="G40">
        <f t="shared" si="10"/>
        <v>7.0474939136432404</v>
      </c>
      <c r="H40">
        <f t="shared" si="11"/>
        <v>2.2257131014771523</v>
      </c>
    </row>
    <row r="41" spans="3:8" x14ac:dyDescent="0.3">
      <c r="C41">
        <v>17</v>
      </c>
      <c r="D41">
        <f t="shared" si="12"/>
        <v>6.0216690544412605</v>
      </c>
      <c r="E41">
        <f t="shared" si="8"/>
        <v>7.2271142574827829</v>
      </c>
      <c r="F41">
        <f t="shared" si="9"/>
        <v>4.8162238513997382</v>
      </c>
      <c r="G41">
        <f t="shared" si="10"/>
        <v>7.227114257482782</v>
      </c>
      <c r="H41">
        <f t="shared" si="11"/>
        <v>2.4053334453166939</v>
      </c>
    </row>
    <row r="42" spans="3:8" x14ac:dyDescent="0.3">
      <c r="C42">
        <v>18</v>
      </c>
      <c r="D42">
        <f t="shared" si="12"/>
        <v>6.2012893982808022</v>
      </c>
      <c r="E42">
        <f t="shared" si="8"/>
        <v>7.4067346013223245</v>
      </c>
      <c r="F42">
        <f t="shared" si="9"/>
        <v>4.9958441952392798</v>
      </c>
      <c r="G42">
        <f t="shared" si="10"/>
        <v>7.4067346013223236</v>
      </c>
      <c r="H42">
        <f t="shared" si="11"/>
        <v>2.5849537891562355</v>
      </c>
    </row>
    <row r="43" spans="3:8" x14ac:dyDescent="0.3">
      <c r="C43">
        <v>19</v>
      </c>
      <c r="D43">
        <f t="shared" si="12"/>
        <v>6.3809097421203429</v>
      </c>
      <c r="E43">
        <f t="shared" si="8"/>
        <v>7.5863549451618653</v>
      </c>
      <c r="F43">
        <f t="shared" si="9"/>
        <v>5.1754645390788205</v>
      </c>
      <c r="G43">
        <f t="shared" si="10"/>
        <v>7.5863549451618653</v>
      </c>
      <c r="H43">
        <f t="shared" si="11"/>
        <v>2.7645741329957763</v>
      </c>
    </row>
    <row r="44" spans="3:8" x14ac:dyDescent="0.3">
      <c r="C44">
        <v>20</v>
      </c>
      <c r="D44">
        <f t="shared" si="12"/>
        <v>6.5605300859598845</v>
      </c>
      <c r="E44">
        <f t="shared" si="8"/>
        <v>7.7659752890014069</v>
      </c>
      <c r="F44">
        <f t="shared" si="9"/>
        <v>5.3550848829183622</v>
      </c>
      <c r="G44">
        <f t="shared" si="10"/>
        <v>7.7659752890014069</v>
      </c>
      <c r="H44">
        <f t="shared" si="11"/>
        <v>2.9441944768353179</v>
      </c>
    </row>
    <row r="45" spans="3:8" x14ac:dyDescent="0.3">
      <c r="C45">
        <v>21</v>
      </c>
      <c r="D45">
        <f t="shared" si="12"/>
        <v>6.7401504297994261</v>
      </c>
      <c r="E45">
        <f t="shared" si="8"/>
        <v>7.9455956328409485</v>
      </c>
      <c r="F45">
        <f t="shared" si="9"/>
        <v>5.5347052267579038</v>
      </c>
      <c r="G45">
        <f t="shared" si="10"/>
        <v>7.9455956328409485</v>
      </c>
      <c r="H45">
        <f t="shared" si="11"/>
        <v>3.1238148206748595</v>
      </c>
    </row>
    <row r="46" spans="3:8" x14ac:dyDescent="0.3">
      <c r="C46">
        <v>22</v>
      </c>
      <c r="D46">
        <f t="shared" si="12"/>
        <v>6.9197707736389678</v>
      </c>
      <c r="E46">
        <f t="shared" si="8"/>
        <v>8.1252159766804901</v>
      </c>
      <c r="F46">
        <f t="shared" si="9"/>
        <v>5.7143255705974454</v>
      </c>
      <c r="G46">
        <f t="shared" si="10"/>
        <v>8.1252159766804901</v>
      </c>
      <c r="H46">
        <f t="shared" si="11"/>
        <v>3.3034351645144011</v>
      </c>
    </row>
    <row r="47" spans="3:8" x14ac:dyDescent="0.3">
      <c r="C47">
        <v>23</v>
      </c>
      <c r="D47">
        <f t="shared" si="12"/>
        <v>7.0993911174785094</v>
      </c>
      <c r="E47">
        <f t="shared" si="8"/>
        <v>8.3048363205200317</v>
      </c>
      <c r="F47">
        <f t="shared" si="9"/>
        <v>5.893945914436987</v>
      </c>
      <c r="G47">
        <f t="shared" si="10"/>
        <v>8.3048363205200317</v>
      </c>
      <c r="H47">
        <f t="shared" si="11"/>
        <v>3.4830555083539427</v>
      </c>
    </row>
    <row r="48" spans="3:8" x14ac:dyDescent="0.3">
      <c r="C48">
        <v>24</v>
      </c>
      <c r="D48">
        <f t="shared" si="12"/>
        <v>7.279011461318051</v>
      </c>
      <c r="E48">
        <f t="shared" si="8"/>
        <v>8.4844566643595734</v>
      </c>
      <c r="F48">
        <f t="shared" si="9"/>
        <v>6.0735662582765286</v>
      </c>
      <c r="G48">
        <f t="shared" si="10"/>
        <v>8.4844566643595734</v>
      </c>
      <c r="H48">
        <f t="shared" si="11"/>
        <v>3.6626758521934843</v>
      </c>
    </row>
    <row r="49" spans="3:8" x14ac:dyDescent="0.3">
      <c r="C49">
        <v>25</v>
      </c>
      <c r="D49">
        <f t="shared" si="12"/>
        <v>7.4586318051575926</v>
      </c>
      <c r="E49">
        <f t="shared" si="8"/>
        <v>8.664077008199115</v>
      </c>
      <c r="F49">
        <f t="shared" si="9"/>
        <v>6.2531866021160702</v>
      </c>
      <c r="G49">
        <f t="shared" si="10"/>
        <v>8.664077008199115</v>
      </c>
      <c r="H49">
        <f t="shared" si="11"/>
        <v>3.842296196033026</v>
      </c>
    </row>
    <row r="50" spans="3:8" x14ac:dyDescent="0.3">
      <c r="C50">
        <v>26</v>
      </c>
      <c r="D50">
        <f t="shared" si="12"/>
        <v>7.6382521489971342</v>
      </c>
      <c r="E50">
        <f t="shared" si="8"/>
        <v>8.8436973520386566</v>
      </c>
      <c r="F50">
        <f t="shared" si="9"/>
        <v>6.4328069459556119</v>
      </c>
      <c r="G50">
        <f t="shared" si="10"/>
        <v>8.8436973520386566</v>
      </c>
      <c r="H50">
        <f t="shared" si="11"/>
        <v>4.0219165398725671</v>
      </c>
    </row>
  </sheetData>
  <phoneticPr fontId="1" type="noConversion"/>
  <conditionalFormatting sqref="C2:C13">
    <cfRule type="cellIs" dxfId="5" priority="2" operator="between">
      <formula>I2</formula>
      <formula>J2</formula>
    </cfRule>
  </conditionalFormatting>
  <conditionalFormatting sqref="K2:K1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8E39-A644-45CF-BE53-C20017C16617}">
  <dimension ref="A1:S54"/>
  <sheetViews>
    <sheetView tabSelected="1" zoomScale="89" workbookViewId="0">
      <selection activeCell="S7" sqref="S7"/>
    </sheetView>
  </sheetViews>
  <sheetFormatPr defaultRowHeight="14.4" x14ac:dyDescent="0.3"/>
  <cols>
    <col min="17" max="17" width="9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4</v>
      </c>
      <c r="E1" t="s">
        <v>9</v>
      </c>
      <c r="F1" t="s">
        <v>10</v>
      </c>
      <c r="G1" t="s">
        <v>3</v>
      </c>
      <c r="H1" t="s">
        <v>11</v>
      </c>
      <c r="I1" t="s">
        <v>24</v>
      </c>
      <c r="J1" t="s">
        <v>13</v>
      </c>
      <c r="K1" t="s">
        <v>14</v>
      </c>
      <c r="L1" t="s">
        <v>25</v>
      </c>
      <c r="M1" t="s">
        <v>26</v>
      </c>
      <c r="N1" t="s">
        <v>27</v>
      </c>
      <c r="O1" t="s">
        <v>28</v>
      </c>
      <c r="P1" t="s">
        <v>15</v>
      </c>
      <c r="Q1" t="s">
        <v>29</v>
      </c>
      <c r="R1" t="s">
        <v>5</v>
      </c>
      <c r="S1">
        <f>MDETERM(I18:K20)/$S$4</f>
        <v>2.1944054193373739</v>
      </c>
    </row>
    <row r="2" spans="1:19" x14ac:dyDescent="0.3">
      <c r="A2">
        <v>1</v>
      </c>
      <c r="B2">
        <v>2</v>
      </c>
      <c r="C2">
        <v>2</v>
      </c>
      <c r="D2">
        <f t="shared" ref="D2:D12" si="0">B2*$B2</f>
        <v>4</v>
      </c>
      <c r="E2">
        <f t="shared" ref="E2:F12" si="1">D2*$B2</f>
        <v>8</v>
      </c>
      <c r="F2">
        <f t="shared" si="1"/>
        <v>16</v>
      </c>
      <c r="G2">
        <f t="shared" ref="G2:G12" si="2">B2*C2</f>
        <v>4</v>
      </c>
      <c r="H2">
        <f t="shared" ref="H2:H12" si="3">D2*$C2</f>
        <v>8</v>
      </c>
      <c r="I2">
        <f>$S$1+$S$2*B2+$S$3*B2*B2</f>
        <v>2.9022781977231151</v>
      </c>
      <c r="J2">
        <f t="shared" ref="J2:J12" si="4">I2-C2</f>
        <v>0.90227819772311513</v>
      </c>
      <c r="K2">
        <f>J2*J2</f>
        <v>0.8141059460864728</v>
      </c>
      <c r="L2">
        <f t="shared" ref="L2:L12" si="5">I2+$S$7</f>
        <v>4.1273433708923415</v>
      </c>
      <c r="M2">
        <f t="shared" ref="M2:M12" si="6">I2-$S$7</f>
        <v>1.6772130245538888</v>
      </c>
      <c r="N2">
        <f t="shared" ref="N2:N12" si="7">I2+2*$S$7</f>
        <v>5.3524085440615679</v>
      </c>
      <c r="O2">
        <f t="shared" ref="O2:O12" si="8">I2-2*$S$7</f>
        <v>0.4521478513846624</v>
      </c>
      <c r="P2">
        <f t="shared" ref="P2:P12" si="9">IF(AND(C2&lt;=L2,C2&gt;=M2),1,0)</f>
        <v>1</v>
      </c>
      <c r="Q2">
        <f>IF(AND(C2&lt;=N2,C2&gt;=O2),1,0)</f>
        <v>1</v>
      </c>
      <c r="R2" t="s">
        <v>6</v>
      </c>
      <c r="S2">
        <f>MDETERM(M18:O20)/$S$4</f>
        <v>0.36979983112984893</v>
      </c>
    </row>
    <row r="3" spans="1:19" x14ac:dyDescent="0.3">
      <c r="A3">
        <v>2</v>
      </c>
      <c r="B3">
        <v>3</v>
      </c>
      <c r="C3">
        <v>4</v>
      </c>
      <c r="D3">
        <f t="shared" si="0"/>
        <v>9</v>
      </c>
      <c r="E3">
        <f t="shared" si="1"/>
        <v>27</v>
      </c>
      <c r="F3">
        <f t="shared" si="1"/>
        <v>81</v>
      </c>
      <c r="G3">
        <f t="shared" si="2"/>
        <v>12</v>
      </c>
      <c r="H3">
        <f t="shared" si="3"/>
        <v>36</v>
      </c>
      <c r="I3">
        <f t="shared" ref="I3:I12" si="10">$S$1+$S$2*B3+$S$3*B3*B3</f>
        <v>3.232419424010518</v>
      </c>
      <c r="J3">
        <f t="shared" si="4"/>
        <v>-0.76758057598948204</v>
      </c>
      <c r="K3">
        <f t="shared" ref="K3:K12" si="11">J3*J3</f>
        <v>0.58917994063634505</v>
      </c>
      <c r="L3">
        <f t="shared" si="5"/>
        <v>4.4574845971797448</v>
      </c>
      <c r="M3">
        <f t="shared" si="6"/>
        <v>2.0073542508412916</v>
      </c>
      <c r="N3">
        <f t="shared" si="7"/>
        <v>5.6825497703489702</v>
      </c>
      <c r="O3">
        <f t="shared" si="8"/>
        <v>0.78228907767206524</v>
      </c>
      <c r="P3">
        <f t="shared" si="9"/>
        <v>1</v>
      </c>
      <c r="Q3">
        <f t="shared" ref="Q3:Q12" si="12">IF(AND(C3&lt;=N3,C3&gt;=O3),1,0)</f>
        <v>1</v>
      </c>
      <c r="R3" t="s">
        <v>12</v>
      </c>
      <c r="S3">
        <f>MDETERM(Q18:S20)/$S$4</f>
        <v>-7.9317209684891705E-3</v>
      </c>
    </row>
    <row r="4" spans="1:19" x14ac:dyDescent="0.3">
      <c r="A4">
        <v>3</v>
      </c>
      <c r="B4">
        <v>5</v>
      </c>
      <c r="C4">
        <v>4</v>
      </c>
      <c r="D4">
        <f t="shared" si="0"/>
        <v>25</v>
      </c>
      <c r="E4">
        <f t="shared" si="1"/>
        <v>125</v>
      </c>
      <c r="F4">
        <f t="shared" si="1"/>
        <v>625</v>
      </c>
      <c r="G4">
        <f t="shared" si="2"/>
        <v>20</v>
      </c>
      <c r="H4">
        <f t="shared" si="3"/>
        <v>100</v>
      </c>
      <c r="I4">
        <f t="shared" si="10"/>
        <v>3.8451115507743898</v>
      </c>
      <c r="J4">
        <f t="shared" si="4"/>
        <v>-0.15488844922561018</v>
      </c>
      <c r="K4">
        <f t="shared" si="11"/>
        <v>2.3990431703514423E-2</v>
      </c>
      <c r="L4">
        <f t="shared" si="5"/>
        <v>5.0701767239436162</v>
      </c>
      <c r="M4">
        <f t="shared" si="6"/>
        <v>2.6200463776051635</v>
      </c>
      <c r="N4">
        <f t="shared" si="7"/>
        <v>6.2952418971128425</v>
      </c>
      <c r="O4">
        <f t="shared" si="8"/>
        <v>1.3949812044359371</v>
      </c>
      <c r="P4">
        <f t="shared" si="9"/>
        <v>1</v>
      </c>
      <c r="Q4">
        <f t="shared" si="12"/>
        <v>1</v>
      </c>
      <c r="R4" t="s">
        <v>30</v>
      </c>
      <c r="S4">
        <f>MDETERM(D18:F20)</f>
        <v>90881664.000000268</v>
      </c>
    </row>
    <row r="5" spans="1:19" x14ac:dyDescent="0.3">
      <c r="A5">
        <v>4</v>
      </c>
      <c r="B5">
        <v>7</v>
      </c>
      <c r="C5">
        <v>5</v>
      </c>
      <c r="D5">
        <f t="shared" si="0"/>
        <v>49</v>
      </c>
      <c r="E5">
        <f t="shared" si="1"/>
        <v>343</v>
      </c>
      <c r="F5">
        <f t="shared" si="1"/>
        <v>2401</v>
      </c>
      <c r="G5">
        <f t="shared" si="2"/>
        <v>35</v>
      </c>
      <c r="H5">
        <f t="shared" si="3"/>
        <v>245</v>
      </c>
      <c r="I5">
        <f t="shared" si="10"/>
        <v>4.3943499097903471</v>
      </c>
      <c r="J5">
        <f t="shared" si="4"/>
        <v>-0.60565009020965288</v>
      </c>
      <c r="K5">
        <f t="shared" si="11"/>
        <v>0.36681203177096067</v>
      </c>
      <c r="L5">
        <f t="shared" si="5"/>
        <v>5.6194150829595735</v>
      </c>
      <c r="M5">
        <f t="shared" si="6"/>
        <v>3.1692847366211208</v>
      </c>
      <c r="N5">
        <f t="shared" si="7"/>
        <v>6.8444802561287998</v>
      </c>
      <c r="O5">
        <f t="shared" si="8"/>
        <v>1.9442195634518944</v>
      </c>
      <c r="P5">
        <f t="shared" si="9"/>
        <v>1</v>
      </c>
      <c r="Q5">
        <f t="shared" si="12"/>
        <v>1</v>
      </c>
    </row>
    <row r="6" spans="1:19" x14ac:dyDescent="0.3">
      <c r="A6">
        <v>5</v>
      </c>
      <c r="B6">
        <v>9</v>
      </c>
      <c r="C6">
        <v>4</v>
      </c>
      <c r="D6">
        <f t="shared" si="0"/>
        <v>81</v>
      </c>
      <c r="E6">
        <f t="shared" si="1"/>
        <v>729</v>
      </c>
      <c r="F6">
        <f t="shared" si="1"/>
        <v>6561</v>
      </c>
      <c r="G6">
        <f t="shared" si="2"/>
        <v>36</v>
      </c>
      <c r="H6">
        <f t="shared" si="3"/>
        <v>324</v>
      </c>
      <c r="I6">
        <f t="shared" si="10"/>
        <v>4.8801345010583921</v>
      </c>
      <c r="J6">
        <f t="shared" si="4"/>
        <v>0.88013450105839208</v>
      </c>
      <c r="K6">
        <f t="shared" si="11"/>
        <v>0.77463673995330473</v>
      </c>
      <c r="L6">
        <f t="shared" si="5"/>
        <v>6.1051996742276184</v>
      </c>
      <c r="M6">
        <f t="shared" si="6"/>
        <v>3.6550693278891657</v>
      </c>
      <c r="N6">
        <f t="shared" si="7"/>
        <v>7.3302648473968448</v>
      </c>
      <c r="O6">
        <f t="shared" si="8"/>
        <v>2.4300041547199394</v>
      </c>
      <c r="P6">
        <f t="shared" si="9"/>
        <v>1</v>
      </c>
      <c r="Q6">
        <f t="shared" si="12"/>
        <v>1</v>
      </c>
      <c r="S6">
        <f>SUM(K2:K13)</f>
        <v>13.507062106609322</v>
      </c>
    </row>
    <row r="7" spans="1:19" x14ac:dyDescent="0.3">
      <c r="A7">
        <v>6</v>
      </c>
      <c r="B7">
        <v>12</v>
      </c>
      <c r="C7">
        <v>7</v>
      </c>
      <c r="D7">
        <f t="shared" si="0"/>
        <v>144</v>
      </c>
      <c r="E7">
        <f t="shared" si="1"/>
        <v>1728</v>
      </c>
      <c r="F7">
        <f t="shared" si="1"/>
        <v>20736</v>
      </c>
      <c r="G7">
        <f t="shared" si="2"/>
        <v>84</v>
      </c>
      <c r="H7">
        <f t="shared" si="3"/>
        <v>1008</v>
      </c>
      <c r="I7">
        <f t="shared" si="10"/>
        <v>5.4898355734331199</v>
      </c>
      <c r="J7">
        <f t="shared" si="4"/>
        <v>-1.5101644265668801</v>
      </c>
      <c r="K7">
        <f t="shared" si="11"/>
        <v>2.280596595268074</v>
      </c>
      <c r="L7">
        <f t="shared" si="5"/>
        <v>6.7149007466023463</v>
      </c>
      <c r="M7">
        <f t="shared" si="6"/>
        <v>4.2647704002638935</v>
      </c>
      <c r="N7">
        <f t="shared" si="7"/>
        <v>7.9399659197715726</v>
      </c>
      <c r="O7">
        <f t="shared" si="8"/>
        <v>3.0397052270946672</v>
      </c>
      <c r="P7">
        <f t="shared" si="9"/>
        <v>0</v>
      </c>
      <c r="Q7">
        <f t="shared" si="12"/>
        <v>1</v>
      </c>
      <c r="S7">
        <f>SQRT(S6/(A14-3+1))</f>
        <v>1.2250651731692264</v>
      </c>
    </row>
    <row r="8" spans="1:19" x14ac:dyDescent="0.3">
      <c r="A8">
        <v>7</v>
      </c>
      <c r="B8">
        <v>15</v>
      </c>
      <c r="C8">
        <v>4</v>
      </c>
      <c r="D8">
        <f t="shared" si="0"/>
        <v>225</v>
      </c>
      <c r="E8">
        <f t="shared" si="1"/>
        <v>3375</v>
      </c>
      <c r="F8">
        <f t="shared" si="1"/>
        <v>50625</v>
      </c>
      <c r="G8">
        <f t="shared" si="2"/>
        <v>60</v>
      </c>
      <c r="H8">
        <f t="shared" si="3"/>
        <v>900</v>
      </c>
      <c r="I8">
        <f t="shared" si="10"/>
        <v>5.956765668375045</v>
      </c>
      <c r="J8">
        <f t="shared" si="4"/>
        <v>1.956765668375045</v>
      </c>
      <c r="K8">
        <f t="shared" si="11"/>
        <v>3.8289318809312363</v>
      </c>
      <c r="L8">
        <f t="shared" si="5"/>
        <v>7.1818308415442713</v>
      </c>
      <c r="M8">
        <f t="shared" si="6"/>
        <v>4.7317004952058186</v>
      </c>
      <c r="N8">
        <f t="shared" si="7"/>
        <v>8.4068960147134977</v>
      </c>
      <c r="O8">
        <f t="shared" si="8"/>
        <v>3.5066353220365922</v>
      </c>
      <c r="P8">
        <f t="shared" si="9"/>
        <v>0</v>
      </c>
      <c r="Q8">
        <f t="shared" si="12"/>
        <v>1</v>
      </c>
    </row>
    <row r="9" spans="1:19" x14ac:dyDescent="0.3">
      <c r="A9">
        <v>8</v>
      </c>
      <c r="B9">
        <v>17</v>
      </c>
      <c r="C9">
        <v>5</v>
      </c>
      <c r="D9">
        <f t="shared" si="0"/>
        <v>289</v>
      </c>
      <c r="E9">
        <f t="shared" si="1"/>
        <v>4913</v>
      </c>
      <c r="F9">
        <f t="shared" si="1"/>
        <v>83521</v>
      </c>
      <c r="G9">
        <f t="shared" si="2"/>
        <v>85</v>
      </c>
      <c r="H9">
        <f t="shared" si="3"/>
        <v>1445</v>
      </c>
      <c r="I9">
        <f t="shared" si="10"/>
        <v>6.1887351886514352</v>
      </c>
      <c r="J9">
        <f t="shared" si="4"/>
        <v>1.1887351886514352</v>
      </c>
      <c r="K9">
        <f t="shared" si="11"/>
        <v>1.4130913487381633</v>
      </c>
      <c r="L9">
        <f t="shared" si="5"/>
        <v>7.4138003618206616</v>
      </c>
      <c r="M9">
        <f t="shared" si="6"/>
        <v>4.9636700154822089</v>
      </c>
      <c r="N9">
        <f t="shared" si="7"/>
        <v>8.638865534989888</v>
      </c>
      <c r="O9">
        <f t="shared" si="8"/>
        <v>3.7386048423129825</v>
      </c>
      <c r="P9">
        <f t="shared" si="9"/>
        <v>1</v>
      </c>
      <c r="Q9">
        <f t="shared" si="12"/>
        <v>1</v>
      </c>
    </row>
    <row r="10" spans="1:19" x14ac:dyDescent="0.3">
      <c r="A10">
        <v>9</v>
      </c>
      <c r="B10">
        <v>17</v>
      </c>
      <c r="C10">
        <v>7</v>
      </c>
      <c r="D10">
        <f t="shared" si="0"/>
        <v>289</v>
      </c>
      <c r="E10">
        <f t="shared" si="1"/>
        <v>4913</v>
      </c>
      <c r="F10">
        <f t="shared" si="1"/>
        <v>83521</v>
      </c>
      <c r="G10">
        <f t="shared" si="2"/>
        <v>119</v>
      </c>
      <c r="H10">
        <f t="shared" si="3"/>
        <v>2023</v>
      </c>
      <c r="I10">
        <f t="shared" si="10"/>
        <v>6.1887351886514352</v>
      </c>
      <c r="J10">
        <f t="shared" si="4"/>
        <v>-0.81126481134856476</v>
      </c>
      <c r="K10">
        <f t="shared" si="11"/>
        <v>0.65815059413242238</v>
      </c>
      <c r="L10">
        <f t="shared" si="5"/>
        <v>7.4138003618206616</v>
      </c>
      <c r="M10">
        <f t="shared" si="6"/>
        <v>4.9636700154822089</v>
      </c>
      <c r="N10">
        <f t="shared" si="7"/>
        <v>8.638865534989888</v>
      </c>
      <c r="O10">
        <f t="shared" si="8"/>
        <v>3.7386048423129825</v>
      </c>
      <c r="P10">
        <f t="shared" si="9"/>
        <v>1</v>
      </c>
      <c r="Q10">
        <f t="shared" si="12"/>
        <v>1</v>
      </c>
    </row>
    <row r="11" spans="1:19" x14ac:dyDescent="0.3">
      <c r="A11">
        <v>10</v>
      </c>
      <c r="B11">
        <v>20</v>
      </c>
      <c r="C11">
        <v>8</v>
      </c>
      <c r="D11">
        <f t="shared" si="0"/>
        <v>400</v>
      </c>
      <c r="E11">
        <f t="shared" si="1"/>
        <v>8000</v>
      </c>
      <c r="F11">
        <f t="shared" si="1"/>
        <v>160000</v>
      </c>
      <c r="G11">
        <f t="shared" si="2"/>
        <v>160</v>
      </c>
      <c r="H11">
        <f t="shared" si="3"/>
        <v>3200</v>
      </c>
      <c r="I11">
        <f t="shared" si="10"/>
        <v>6.4177136545386837</v>
      </c>
      <c r="J11">
        <f t="shared" si="4"/>
        <v>-1.5822863454613163</v>
      </c>
      <c r="K11">
        <f t="shared" si="11"/>
        <v>2.5036300790333281</v>
      </c>
      <c r="L11">
        <f t="shared" si="5"/>
        <v>7.6427788277079101</v>
      </c>
      <c r="M11">
        <f t="shared" si="6"/>
        <v>5.1926484813694573</v>
      </c>
      <c r="N11">
        <f t="shared" si="7"/>
        <v>8.8678440008771364</v>
      </c>
      <c r="O11">
        <f t="shared" si="8"/>
        <v>3.967583308200231</v>
      </c>
      <c r="P11">
        <f t="shared" si="9"/>
        <v>0</v>
      </c>
      <c r="Q11">
        <f t="shared" si="12"/>
        <v>1</v>
      </c>
    </row>
    <row r="12" spans="1:19" x14ac:dyDescent="0.3">
      <c r="A12">
        <v>11</v>
      </c>
      <c r="B12">
        <v>23</v>
      </c>
      <c r="C12">
        <v>6</v>
      </c>
      <c r="D12">
        <f t="shared" si="0"/>
        <v>529</v>
      </c>
      <c r="E12">
        <f t="shared" si="1"/>
        <v>12167</v>
      </c>
      <c r="F12">
        <f t="shared" si="1"/>
        <v>279841</v>
      </c>
      <c r="G12">
        <f t="shared" si="2"/>
        <v>138</v>
      </c>
      <c r="H12">
        <f t="shared" si="3"/>
        <v>3174</v>
      </c>
      <c r="I12">
        <f t="shared" si="10"/>
        <v>6.5039211429931267</v>
      </c>
      <c r="J12">
        <f t="shared" si="4"/>
        <v>0.50392114299312674</v>
      </c>
      <c r="K12">
        <f t="shared" si="11"/>
        <v>0.2539365183554993</v>
      </c>
      <c r="L12">
        <f t="shared" si="5"/>
        <v>7.7289863161623531</v>
      </c>
      <c r="M12">
        <f t="shared" si="6"/>
        <v>5.2788559698239004</v>
      </c>
      <c r="N12">
        <f t="shared" si="7"/>
        <v>8.9540514893315795</v>
      </c>
      <c r="O12">
        <f t="shared" si="8"/>
        <v>4.053790796654674</v>
      </c>
      <c r="P12">
        <f t="shared" si="9"/>
        <v>1</v>
      </c>
      <c r="Q12">
        <f t="shared" si="12"/>
        <v>1</v>
      </c>
    </row>
    <row r="14" spans="1:19" x14ac:dyDescent="0.3">
      <c r="A14">
        <f>MAX(A2:A13)</f>
        <v>11</v>
      </c>
      <c r="B14">
        <f>SUM(B2:B13)</f>
        <v>130</v>
      </c>
      <c r="C14">
        <f t="shared" ref="C14:H14" si="13">SUM(C2:C13)</f>
        <v>56</v>
      </c>
      <c r="D14">
        <f t="shared" si="13"/>
        <v>2044</v>
      </c>
      <c r="E14">
        <f>SUM(E2:E13)</f>
        <v>36328</v>
      </c>
      <c r="F14">
        <f t="shared" si="13"/>
        <v>687928</v>
      </c>
      <c r="G14">
        <f t="shared" si="13"/>
        <v>753</v>
      </c>
      <c r="H14">
        <f t="shared" si="13"/>
        <v>12463</v>
      </c>
      <c r="P14" t="str">
        <f>ROUND(SUM(P2:P13)/A14*100,2)&amp;"%"</f>
        <v>72,73%</v>
      </c>
      <c r="Q14" t="str">
        <f>ROUND(SUM(Q2:Q13)/A14*100,2)&amp;"%"</f>
        <v>100%</v>
      </c>
    </row>
    <row r="15" spans="1:19" x14ac:dyDescent="0.3">
      <c r="A15" t="s">
        <v>23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</row>
    <row r="18" spans="1:19" x14ac:dyDescent="0.3">
      <c r="D18">
        <f>A14</f>
        <v>11</v>
      </c>
      <c r="E18">
        <f>B14</f>
        <v>130</v>
      </c>
      <c r="F18">
        <f>D14</f>
        <v>2044</v>
      </c>
      <c r="G18">
        <f>C14</f>
        <v>56</v>
      </c>
      <c r="I18">
        <f>G18</f>
        <v>56</v>
      </c>
      <c r="J18">
        <f>E18</f>
        <v>130</v>
      </c>
      <c r="K18">
        <f>F18</f>
        <v>2044</v>
      </c>
      <c r="M18">
        <f>D18</f>
        <v>11</v>
      </c>
      <c r="N18">
        <f>G18</f>
        <v>56</v>
      </c>
      <c r="O18">
        <f t="shared" ref="O18" si="14">F18</f>
        <v>2044</v>
      </c>
      <c r="Q18">
        <f>D18</f>
        <v>11</v>
      </c>
      <c r="R18">
        <f t="shared" ref="R18" si="15">E18</f>
        <v>130</v>
      </c>
      <c r="S18">
        <f>G18</f>
        <v>56</v>
      </c>
    </row>
    <row r="19" spans="1:19" x14ac:dyDescent="0.3">
      <c r="D19">
        <f>B14</f>
        <v>130</v>
      </c>
      <c r="E19">
        <f>D14</f>
        <v>2044</v>
      </c>
      <c r="F19">
        <f>E14</f>
        <v>36328</v>
      </c>
      <c r="G19">
        <f>G14</f>
        <v>753</v>
      </c>
      <c r="I19">
        <f t="shared" ref="I19:I20" si="16">G19</f>
        <v>753</v>
      </c>
      <c r="J19">
        <f t="shared" ref="J19:J20" si="17">E19</f>
        <v>2044</v>
      </c>
      <c r="K19">
        <f t="shared" ref="K19:K20" si="18">F19</f>
        <v>36328</v>
      </c>
      <c r="M19">
        <f t="shared" ref="M19:M20" si="19">D19</f>
        <v>130</v>
      </c>
      <c r="N19">
        <f t="shared" ref="N19:N20" si="20">G19</f>
        <v>753</v>
      </c>
      <c r="O19">
        <f t="shared" ref="O19:O20" si="21">F19</f>
        <v>36328</v>
      </c>
      <c r="Q19">
        <f t="shared" ref="Q19:Q20" si="22">D19</f>
        <v>130</v>
      </c>
      <c r="R19">
        <f t="shared" ref="R19:R20" si="23">E19</f>
        <v>2044</v>
      </c>
      <c r="S19">
        <f t="shared" ref="S19:S20" si="24">G19</f>
        <v>753</v>
      </c>
    </row>
    <row r="20" spans="1:19" x14ac:dyDescent="0.3">
      <c r="D20">
        <f>D14</f>
        <v>2044</v>
      </c>
      <c r="E20">
        <f>E14</f>
        <v>36328</v>
      </c>
      <c r="F20">
        <f>F14</f>
        <v>687928</v>
      </c>
      <c r="G20">
        <f>H14</f>
        <v>12463</v>
      </c>
      <c r="I20">
        <f t="shared" si="16"/>
        <v>12463</v>
      </c>
      <c r="J20">
        <f t="shared" si="17"/>
        <v>36328</v>
      </c>
      <c r="K20">
        <f t="shared" si="18"/>
        <v>687928</v>
      </c>
      <c r="M20">
        <f t="shared" si="19"/>
        <v>2044</v>
      </c>
      <c r="N20">
        <f t="shared" si="20"/>
        <v>12463</v>
      </c>
      <c r="O20">
        <f t="shared" si="21"/>
        <v>687928</v>
      </c>
      <c r="Q20">
        <f t="shared" si="22"/>
        <v>2044</v>
      </c>
      <c r="R20">
        <f t="shared" si="23"/>
        <v>36328</v>
      </c>
      <c r="S20">
        <f t="shared" si="24"/>
        <v>12463</v>
      </c>
    </row>
    <row r="24" spans="1:19" x14ac:dyDescent="0.3">
      <c r="A24">
        <v>0</v>
      </c>
      <c r="B24">
        <f t="shared" ref="B24:B50" si="25">$S$1+$S$2*A24+$S$3*A24*A24</f>
        <v>2.1944054193373739</v>
      </c>
      <c r="C24">
        <f t="shared" ref="C24:C50" si="26">B24+$S$7</f>
        <v>3.4194705925066002</v>
      </c>
      <c r="D24">
        <f t="shared" ref="D24:D50" si="27">B24-$S$7</f>
        <v>0.96934024616814751</v>
      </c>
      <c r="E24">
        <f t="shared" ref="E24:E50" si="28">B24+2*$S$7</f>
        <v>4.6445357656758262</v>
      </c>
      <c r="F24">
        <f t="shared" ref="F24:F50" si="29">B24-2*$S$7</f>
        <v>-0.25572492700107885</v>
      </c>
    </row>
    <row r="25" spans="1:19" x14ac:dyDescent="0.3">
      <c r="A25">
        <v>1</v>
      </c>
      <c r="B25">
        <f t="shared" si="25"/>
        <v>2.5562735294987338</v>
      </c>
      <c r="C25">
        <f t="shared" si="26"/>
        <v>3.7813387026679601</v>
      </c>
      <c r="D25">
        <f t="shared" si="27"/>
        <v>1.3312083563295074</v>
      </c>
      <c r="E25">
        <f t="shared" si="28"/>
        <v>5.0064038758371865</v>
      </c>
      <c r="F25">
        <f t="shared" si="29"/>
        <v>0.10614318316028104</v>
      </c>
    </row>
    <row r="26" spans="1:19" x14ac:dyDescent="0.3">
      <c r="A26">
        <v>2</v>
      </c>
      <c r="B26">
        <f t="shared" si="25"/>
        <v>2.9022781977231151</v>
      </c>
      <c r="C26">
        <f t="shared" si="26"/>
        <v>4.1273433708923415</v>
      </c>
      <c r="D26">
        <f t="shared" si="27"/>
        <v>1.6772130245538888</v>
      </c>
      <c r="E26">
        <f t="shared" si="28"/>
        <v>5.3524085440615679</v>
      </c>
      <c r="F26">
        <f t="shared" si="29"/>
        <v>0.4521478513846624</v>
      </c>
    </row>
    <row r="27" spans="1:19" x14ac:dyDescent="0.3">
      <c r="A27">
        <v>3</v>
      </c>
      <c r="B27">
        <f t="shared" si="25"/>
        <v>3.232419424010518</v>
      </c>
      <c r="C27">
        <f t="shared" si="26"/>
        <v>4.4574845971797448</v>
      </c>
      <c r="D27">
        <f t="shared" si="27"/>
        <v>2.0073542508412916</v>
      </c>
      <c r="E27">
        <f t="shared" si="28"/>
        <v>5.6825497703489702</v>
      </c>
      <c r="F27">
        <f t="shared" si="29"/>
        <v>0.78228907767206524</v>
      </c>
    </row>
    <row r="28" spans="1:19" x14ac:dyDescent="0.3">
      <c r="A28">
        <v>4</v>
      </c>
      <c r="B28">
        <f t="shared" si="25"/>
        <v>3.5466972083609427</v>
      </c>
      <c r="C28">
        <f t="shared" si="26"/>
        <v>4.7717623815301691</v>
      </c>
      <c r="D28">
        <f t="shared" si="27"/>
        <v>2.3216320351917163</v>
      </c>
      <c r="E28">
        <f t="shared" si="28"/>
        <v>5.9968275546993954</v>
      </c>
      <c r="F28">
        <f t="shared" si="29"/>
        <v>1.09656686202249</v>
      </c>
    </row>
    <row r="29" spans="1:19" x14ac:dyDescent="0.3">
      <c r="A29">
        <v>5</v>
      </c>
      <c r="B29">
        <f t="shared" si="25"/>
        <v>3.8451115507743898</v>
      </c>
      <c r="C29">
        <f t="shared" si="26"/>
        <v>5.0701767239436162</v>
      </c>
      <c r="D29">
        <f t="shared" si="27"/>
        <v>2.6200463776051635</v>
      </c>
      <c r="E29">
        <f t="shared" si="28"/>
        <v>6.2952418971128425</v>
      </c>
      <c r="F29">
        <f t="shared" si="29"/>
        <v>1.3949812044359371</v>
      </c>
    </row>
    <row r="30" spans="1:19" x14ac:dyDescent="0.3">
      <c r="A30">
        <v>6</v>
      </c>
      <c r="B30">
        <f t="shared" si="25"/>
        <v>4.1276624512508571</v>
      </c>
      <c r="C30">
        <f t="shared" si="26"/>
        <v>5.3527276244200834</v>
      </c>
      <c r="D30">
        <f t="shared" si="27"/>
        <v>2.9025972780816307</v>
      </c>
      <c r="E30">
        <f t="shared" si="28"/>
        <v>6.5777927975893098</v>
      </c>
      <c r="F30">
        <f t="shared" si="29"/>
        <v>1.6775321049124043</v>
      </c>
    </row>
    <row r="31" spans="1:19" x14ac:dyDescent="0.3">
      <c r="A31">
        <v>7</v>
      </c>
      <c r="B31">
        <f t="shared" si="25"/>
        <v>4.3943499097903471</v>
      </c>
      <c r="C31">
        <f t="shared" si="26"/>
        <v>5.6194150829595735</v>
      </c>
      <c r="D31">
        <f t="shared" si="27"/>
        <v>3.1692847366211208</v>
      </c>
      <c r="E31">
        <f t="shared" si="28"/>
        <v>6.8444802561287998</v>
      </c>
      <c r="F31">
        <f t="shared" si="29"/>
        <v>1.9442195634518944</v>
      </c>
    </row>
    <row r="32" spans="1:19" x14ac:dyDescent="0.3">
      <c r="A32">
        <v>8</v>
      </c>
      <c r="B32">
        <f t="shared" si="25"/>
        <v>4.6451739263928582</v>
      </c>
      <c r="C32">
        <f t="shared" si="26"/>
        <v>5.8702390995620846</v>
      </c>
      <c r="D32">
        <f t="shared" si="27"/>
        <v>3.4201087532236318</v>
      </c>
      <c r="E32">
        <f t="shared" si="28"/>
        <v>7.0953042727313109</v>
      </c>
      <c r="F32">
        <f t="shared" si="29"/>
        <v>2.1950435800544055</v>
      </c>
    </row>
    <row r="33" spans="1:6" x14ac:dyDescent="0.3">
      <c r="A33">
        <v>9</v>
      </c>
      <c r="B33">
        <f t="shared" si="25"/>
        <v>4.8801345010583921</v>
      </c>
      <c r="C33">
        <f t="shared" si="26"/>
        <v>6.1051996742276184</v>
      </c>
      <c r="D33">
        <f t="shared" si="27"/>
        <v>3.6550693278891657</v>
      </c>
      <c r="E33">
        <f t="shared" si="28"/>
        <v>7.3302648473968448</v>
      </c>
      <c r="F33">
        <f t="shared" si="29"/>
        <v>2.4300041547199394</v>
      </c>
    </row>
    <row r="34" spans="1:6" x14ac:dyDescent="0.3">
      <c r="A34">
        <v>10</v>
      </c>
      <c r="B34">
        <f t="shared" si="25"/>
        <v>5.0992316337869461</v>
      </c>
      <c r="C34">
        <f t="shared" si="26"/>
        <v>6.3242968069561725</v>
      </c>
      <c r="D34">
        <f t="shared" si="27"/>
        <v>3.8741664606177197</v>
      </c>
      <c r="E34">
        <f t="shared" si="28"/>
        <v>7.5493619801253988</v>
      </c>
      <c r="F34">
        <f t="shared" si="29"/>
        <v>2.6491012874484934</v>
      </c>
    </row>
    <row r="35" spans="1:6" x14ac:dyDescent="0.3">
      <c r="A35">
        <v>11</v>
      </c>
      <c r="B35">
        <f t="shared" si="25"/>
        <v>5.3024653245785229</v>
      </c>
      <c r="C35">
        <f t="shared" si="26"/>
        <v>6.5275304977477493</v>
      </c>
      <c r="D35">
        <f t="shared" si="27"/>
        <v>4.0774001514092966</v>
      </c>
      <c r="E35">
        <f t="shared" si="28"/>
        <v>7.7525956709169757</v>
      </c>
      <c r="F35">
        <f t="shared" si="29"/>
        <v>2.8523349782400702</v>
      </c>
    </row>
    <row r="36" spans="1:6" x14ac:dyDescent="0.3">
      <c r="A36">
        <v>12</v>
      </c>
      <c r="B36">
        <f t="shared" si="25"/>
        <v>5.4898355734331199</v>
      </c>
      <c r="C36">
        <f t="shared" si="26"/>
        <v>6.7149007466023463</v>
      </c>
      <c r="D36">
        <f t="shared" si="27"/>
        <v>4.2647704002638935</v>
      </c>
      <c r="E36">
        <f t="shared" si="28"/>
        <v>7.9399659197715726</v>
      </c>
      <c r="F36">
        <f t="shared" si="29"/>
        <v>3.0397052270946672</v>
      </c>
    </row>
    <row r="37" spans="1:6" x14ac:dyDescent="0.3">
      <c r="A37">
        <v>13</v>
      </c>
      <c r="B37">
        <f t="shared" si="25"/>
        <v>5.6613423803507406</v>
      </c>
      <c r="C37">
        <f t="shared" si="26"/>
        <v>6.8864075535199669</v>
      </c>
      <c r="D37">
        <f t="shared" si="27"/>
        <v>4.4362772071815142</v>
      </c>
      <c r="E37">
        <f t="shared" si="28"/>
        <v>8.1114727266891933</v>
      </c>
      <c r="F37">
        <f t="shared" si="29"/>
        <v>3.2112120340122878</v>
      </c>
    </row>
    <row r="38" spans="1:6" x14ac:dyDescent="0.3">
      <c r="A38">
        <v>14</v>
      </c>
      <c r="B38">
        <f t="shared" si="25"/>
        <v>5.8169857453313814</v>
      </c>
      <c r="C38">
        <f t="shared" si="26"/>
        <v>7.0420509185006077</v>
      </c>
      <c r="D38">
        <f t="shared" si="27"/>
        <v>4.591920572162155</v>
      </c>
      <c r="E38">
        <f t="shared" si="28"/>
        <v>8.2671160916698341</v>
      </c>
      <c r="F38">
        <f t="shared" si="29"/>
        <v>3.3668553989929286</v>
      </c>
    </row>
    <row r="39" spans="1:6" x14ac:dyDescent="0.3">
      <c r="A39">
        <v>15</v>
      </c>
      <c r="B39">
        <f t="shared" si="25"/>
        <v>5.956765668375045</v>
      </c>
      <c r="C39">
        <f t="shared" si="26"/>
        <v>7.1818308415442713</v>
      </c>
      <c r="D39">
        <f t="shared" si="27"/>
        <v>4.7317004952058186</v>
      </c>
      <c r="E39">
        <f t="shared" si="28"/>
        <v>8.4068960147134977</v>
      </c>
      <c r="F39">
        <f t="shared" si="29"/>
        <v>3.5066353220365922</v>
      </c>
    </row>
    <row r="40" spans="1:6" x14ac:dyDescent="0.3">
      <c r="A40">
        <v>16</v>
      </c>
      <c r="B40">
        <f t="shared" si="25"/>
        <v>6.0806821494817287</v>
      </c>
      <c r="C40">
        <f t="shared" si="26"/>
        <v>7.3057473226509551</v>
      </c>
      <c r="D40">
        <f t="shared" si="27"/>
        <v>4.8556169763125023</v>
      </c>
      <c r="E40">
        <f t="shared" si="28"/>
        <v>8.5308124958201823</v>
      </c>
      <c r="F40">
        <f t="shared" si="29"/>
        <v>3.630551803143276</v>
      </c>
    </row>
    <row r="41" spans="1:6" x14ac:dyDescent="0.3">
      <c r="A41">
        <v>17</v>
      </c>
      <c r="B41">
        <f t="shared" si="25"/>
        <v>6.1887351886514352</v>
      </c>
      <c r="C41">
        <f t="shared" si="26"/>
        <v>7.4138003618206616</v>
      </c>
      <c r="D41">
        <f t="shared" si="27"/>
        <v>4.9636700154822089</v>
      </c>
      <c r="E41">
        <f t="shared" si="28"/>
        <v>8.638865534989888</v>
      </c>
      <c r="F41">
        <f t="shared" si="29"/>
        <v>3.7386048423129825</v>
      </c>
    </row>
    <row r="42" spans="1:6" x14ac:dyDescent="0.3">
      <c r="A42">
        <v>18</v>
      </c>
      <c r="B42">
        <f t="shared" si="25"/>
        <v>6.2809247858841637</v>
      </c>
      <c r="C42">
        <f t="shared" si="26"/>
        <v>7.5059899590533901</v>
      </c>
      <c r="D42">
        <f t="shared" si="27"/>
        <v>5.0558596127149373</v>
      </c>
      <c r="E42">
        <f t="shared" si="28"/>
        <v>8.7310551322226164</v>
      </c>
      <c r="F42">
        <f t="shared" si="29"/>
        <v>3.830794439545711</v>
      </c>
    </row>
    <row r="43" spans="1:6" x14ac:dyDescent="0.3">
      <c r="A43">
        <v>19</v>
      </c>
      <c r="B43">
        <f t="shared" si="25"/>
        <v>6.3572509411799132</v>
      </c>
      <c r="C43">
        <f t="shared" si="26"/>
        <v>7.5823161143491395</v>
      </c>
      <c r="D43">
        <f t="shared" si="27"/>
        <v>5.1321857680106868</v>
      </c>
      <c r="E43">
        <f t="shared" si="28"/>
        <v>8.8073812875183659</v>
      </c>
      <c r="F43">
        <f t="shared" si="29"/>
        <v>3.9071205948414605</v>
      </c>
    </row>
    <row r="44" spans="1:6" x14ac:dyDescent="0.3">
      <c r="A44">
        <v>20</v>
      </c>
      <c r="B44">
        <f t="shared" si="25"/>
        <v>6.4177136545386837</v>
      </c>
      <c r="C44">
        <f t="shared" si="26"/>
        <v>7.6427788277079101</v>
      </c>
      <c r="D44">
        <f t="shared" si="27"/>
        <v>5.1926484813694573</v>
      </c>
      <c r="E44">
        <f t="shared" si="28"/>
        <v>8.8678440008771364</v>
      </c>
      <c r="F44">
        <f t="shared" si="29"/>
        <v>3.967583308200231</v>
      </c>
    </row>
    <row r="45" spans="1:6" x14ac:dyDescent="0.3">
      <c r="A45">
        <v>21</v>
      </c>
      <c r="B45">
        <f t="shared" si="25"/>
        <v>6.4623129259604779</v>
      </c>
      <c r="C45">
        <f t="shared" si="26"/>
        <v>7.6873780991297043</v>
      </c>
      <c r="D45">
        <f t="shared" si="27"/>
        <v>5.2372477527912515</v>
      </c>
      <c r="E45">
        <f t="shared" si="28"/>
        <v>8.9124432722989297</v>
      </c>
      <c r="F45">
        <f t="shared" si="29"/>
        <v>4.0121825796220252</v>
      </c>
    </row>
    <row r="46" spans="1:6" x14ac:dyDescent="0.3">
      <c r="A46">
        <v>22</v>
      </c>
      <c r="B46">
        <f t="shared" si="25"/>
        <v>6.4910487554452914</v>
      </c>
      <c r="C46">
        <f t="shared" si="26"/>
        <v>7.7161139286145177</v>
      </c>
      <c r="D46">
        <f t="shared" si="27"/>
        <v>5.265983582276065</v>
      </c>
      <c r="E46">
        <f t="shared" si="28"/>
        <v>8.9411791017837441</v>
      </c>
      <c r="F46">
        <f t="shared" si="29"/>
        <v>4.0409184091068386</v>
      </c>
    </row>
    <row r="47" spans="1:6" x14ac:dyDescent="0.3">
      <c r="A47">
        <v>23</v>
      </c>
      <c r="B47">
        <f t="shared" si="25"/>
        <v>6.5039211429931267</v>
      </c>
      <c r="C47">
        <f t="shared" si="26"/>
        <v>7.7289863161623531</v>
      </c>
      <c r="D47">
        <f t="shared" si="27"/>
        <v>5.2788559698239004</v>
      </c>
      <c r="E47">
        <f t="shared" si="28"/>
        <v>8.9540514893315795</v>
      </c>
      <c r="F47">
        <f t="shared" si="29"/>
        <v>4.053790796654674</v>
      </c>
    </row>
    <row r="48" spans="1:6" x14ac:dyDescent="0.3">
      <c r="A48">
        <v>24</v>
      </c>
      <c r="B48">
        <f t="shared" si="25"/>
        <v>6.5009300886039858</v>
      </c>
      <c r="C48">
        <f t="shared" si="26"/>
        <v>7.7259952617732122</v>
      </c>
      <c r="D48">
        <f t="shared" si="27"/>
        <v>5.2758649154347594</v>
      </c>
      <c r="E48">
        <f t="shared" si="28"/>
        <v>8.9510604349424376</v>
      </c>
      <c r="F48">
        <f t="shared" si="29"/>
        <v>4.0507997422655331</v>
      </c>
    </row>
    <row r="49" spans="1:6" x14ac:dyDescent="0.3">
      <c r="A49">
        <v>25</v>
      </c>
      <c r="B49">
        <f t="shared" si="25"/>
        <v>6.4820755922778659</v>
      </c>
      <c r="C49">
        <f t="shared" si="26"/>
        <v>7.7071407654470923</v>
      </c>
      <c r="D49">
        <f t="shared" si="27"/>
        <v>5.2570104191086395</v>
      </c>
      <c r="E49">
        <f t="shared" si="28"/>
        <v>8.9322059386163186</v>
      </c>
      <c r="F49">
        <f t="shared" si="29"/>
        <v>4.0319452459394132</v>
      </c>
    </row>
    <row r="50" spans="1:6" x14ac:dyDescent="0.3">
      <c r="A50">
        <v>26</v>
      </c>
      <c r="B50">
        <f t="shared" si="25"/>
        <v>6.4473576540147661</v>
      </c>
      <c r="C50">
        <f t="shared" si="26"/>
        <v>7.6724228271839925</v>
      </c>
      <c r="D50">
        <f t="shared" si="27"/>
        <v>5.2222924808455398</v>
      </c>
      <c r="E50">
        <f t="shared" si="28"/>
        <v>8.8974880003532189</v>
      </c>
      <c r="F50">
        <f t="shared" si="29"/>
        <v>3.9972273076763134</v>
      </c>
    </row>
    <row r="51" spans="1:6" x14ac:dyDescent="0.3">
      <c r="A51">
        <v>27</v>
      </c>
      <c r="B51">
        <f t="shared" ref="B51:B53" si="30">$S$1+$S$2*A51+$S$3*A51*A51</f>
        <v>6.3967762738146883</v>
      </c>
      <c r="C51">
        <f t="shared" ref="C51:C53" si="31">B51+$S$7</f>
        <v>7.6218414469839146</v>
      </c>
      <c r="D51">
        <f t="shared" ref="D51:D53" si="32">B51-$S$7</f>
        <v>5.1717111006454619</v>
      </c>
      <c r="E51">
        <f t="shared" ref="E51:E53" si="33">B51+2*$S$7</f>
        <v>8.8469066201531419</v>
      </c>
      <c r="F51">
        <f t="shared" ref="F51:F53" si="34">B51-2*$S$7</f>
        <v>3.9466459274762355</v>
      </c>
    </row>
    <row r="52" spans="1:6" x14ac:dyDescent="0.3">
      <c r="A52">
        <v>28</v>
      </c>
      <c r="B52">
        <f t="shared" si="30"/>
        <v>6.3303314516776332</v>
      </c>
      <c r="C52">
        <f t="shared" si="31"/>
        <v>7.5553966248468596</v>
      </c>
      <c r="D52">
        <f t="shared" si="32"/>
        <v>5.1052662785084069</v>
      </c>
      <c r="E52">
        <f t="shared" si="33"/>
        <v>8.780461798016086</v>
      </c>
      <c r="F52">
        <f t="shared" si="34"/>
        <v>3.8802011053391805</v>
      </c>
    </row>
    <row r="53" spans="1:6" x14ac:dyDescent="0.3">
      <c r="A53">
        <v>29</v>
      </c>
      <c r="B53">
        <f t="shared" si="30"/>
        <v>6.248023187603601</v>
      </c>
      <c r="C53">
        <f t="shared" si="31"/>
        <v>7.4730883607728273</v>
      </c>
      <c r="D53">
        <f t="shared" si="32"/>
        <v>5.0229580144343746</v>
      </c>
      <c r="E53">
        <f t="shared" si="33"/>
        <v>8.6981535339420546</v>
      </c>
      <c r="F53">
        <f t="shared" si="34"/>
        <v>3.7978928412651483</v>
      </c>
    </row>
    <row r="54" spans="1:6" x14ac:dyDescent="0.3">
      <c r="A54">
        <v>30</v>
      </c>
      <c r="B54">
        <f>$S$1+$S$2*A54+$S$3*A54*A54</f>
        <v>6.149851481592588</v>
      </c>
      <c r="C54">
        <f>B54+$S$7</f>
        <v>7.3749166547618143</v>
      </c>
      <c r="D54">
        <f>B54-$S$7</f>
        <v>4.9247863084233616</v>
      </c>
      <c r="E54">
        <f>B54+2*$S$7</f>
        <v>8.5999818279310407</v>
      </c>
      <c r="F54">
        <f>B54-2*$S$7</f>
        <v>3.6997211352541353</v>
      </c>
    </row>
  </sheetData>
  <phoneticPr fontId="1" type="noConversion"/>
  <conditionalFormatting sqref="C2:C12">
    <cfRule type="cellIs" dxfId="3" priority="5" operator="between">
      <formula>L2</formula>
      <formula>M2</formula>
    </cfRule>
  </conditionalFormatting>
  <conditionalFormatting sqref="C13">
    <cfRule type="cellIs" dxfId="2" priority="6" operator="between">
      <formula>#REF!</formula>
      <formula>I13</formula>
    </cfRule>
  </conditionalFormatting>
  <conditionalFormatting sqref="J13">
    <cfRule type="cellIs" dxfId="1" priority="2" operator="equal">
      <formula>1</formula>
    </cfRule>
  </conditionalFormatting>
  <conditionalFormatting sqref="P2:Q12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460A-081D-4C06-A176-B1459E009989}">
  <dimension ref="A1:AM35"/>
  <sheetViews>
    <sheetView zoomScale="40" zoomScaleNormal="40" workbookViewId="0">
      <selection activeCell="H34" sqref="H34"/>
    </sheetView>
  </sheetViews>
  <sheetFormatPr defaultRowHeight="14.4" x14ac:dyDescent="0.3"/>
  <cols>
    <col min="1" max="1" width="20.21875" customWidth="1"/>
    <col min="3" max="3" width="5" customWidth="1"/>
  </cols>
  <sheetData>
    <row r="1" spans="1:39" x14ac:dyDescent="0.3">
      <c r="A1" s="67"/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39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</row>
    <row r="3" spans="1:39" x14ac:dyDescent="0.3">
      <c r="A3" t="s">
        <v>60</v>
      </c>
      <c r="B3" t="s">
        <v>69</v>
      </c>
      <c r="C3" t="s">
        <v>70</v>
      </c>
      <c r="D3" t="s">
        <v>71</v>
      </c>
      <c r="E3" t="s">
        <v>72</v>
      </c>
      <c r="F3" t="s">
        <v>66</v>
      </c>
      <c r="G3" t="s">
        <v>73</v>
      </c>
      <c r="H3" t="s">
        <v>74</v>
      </c>
      <c r="I3" t="s">
        <v>75</v>
      </c>
    </row>
    <row r="5" spans="1:39" ht="21" x14ac:dyDescent="0.4">
      <c r="A5" s="70"/>
      <c r="B5" s="71" t="s">
        <v>37</v>
      </c>
      <c r="C5" s="71" t="s">
        <v>38</v>
      </c>
      <c r="D5" s="71" t="s">
        <v>39</v>
      </c>
      <c r="E5" s="71" t="s">
        <v>40</v>
      </c>
      <c r="F5" s="71" t="s">
        <v>41</v>
      </c>
      <c r="G5" s="71" t="s">
        <v>42</v>
      </c>
      <c r="H5" s="71" t="s">
        <v>43</v>
      </c>
      <c r="I5" s="71" t="s">
        <v>44</v>
      </c>
      <c r="J5" s="71" t="s">
        <v>89</v>
      </c>
      <c r="K5" s="71" t="s">
        <v>90</v>
      </c>
      <c r="L5" s="71" t="s">
        <v>91</v>
      </c>
      <c r="M5" s="71" t="s">
        <v>92</v>
      </c>
      <c r="N5" s="71" t="s">
        <v>93</v>
      </c>
    </row>
    <row r="6" spans="1:39" ht="64.2" customHeight="1" x14ac:dyDescent="0.4">
      <c r="A6" s="71" t="s">
        <v>61</v>
      </c>
      <c r="B6" s="72" t="s">
        <v>95</v>
      </c>
      <c r="C6" s="73"/>
      <c r="D6" s="73" t="s">
        <v>97</v>
      </c>
      <c r="E6" s="73" t="s">
        <v>99</v>
      </c>
      <c r="F6" s="73"/>
      <c r="G6" s="73"/>
      <c r="H6" s="73"/>
      <c r="I6" s="73"/>
      <c r="J6" s="73"/>
      <c r="K6" s="73"/>
      <c r="L6" s="73"/>
      <c r="M6" s="73"/>
      <c r="N6" s="73"/>
    </row>
    <row r="7" spans="1:39" ht="63.6" customHeight="1" x14ac:dyDescent="0.4">
      <c r="A7" s="71" t="s">
        <v>60</v>
      </c>
      <c r="B7" s="73"/>
      <c r="C7" s="73" t="s">
        <v>96</v>
      </c>
      <c r="D7" s="73"/>
      <c r="E7" s="73"/>
      <c r="F7" s="73" t="s">
        <v>97</v>
      </c>
      <c r="G7" s="73" t="s">
        <v>98</v>
      </c>
      <c r="H7" s="73"/>
      <c r="I7" s="73"/>
      <c r="J7" s="73"/>
      <c r="K7" s="73"/>
      <c r="L7" s="73"/>
      <c r="M7" s="73"/>
      <c r="N7" s="73"/>
    </row>
    <row r="10" spans="1:39" x14ac:dyDescent="0.3">
      <c r="B10">
        <v>300</v>
      </c>
    </row>
    <row r="11" spans="1:39" x14ac:dyDescent="0.3">
      <c r="B11">
        <v>250</v>
      </c>
    </row>
    <row r="12" spans="1:39" x14ac:dyDescent="0.3">
      <c r="B12">
        <v>200</v>
      </c>
      <c r="C12" t="s">
        <v>94</v>
      </c>
    </row>
    <row r="14" spans="1:39" x14ac:dyDescent="0.3">
      <c r="W14" s="85"/>
      <c r="X14" s="85"/>
      <c r="Y14" s="85"/>
      <c r="Z14" s="85"/>
      <c r="AA14" s="85"/>
      <c r="AB14" s="85"/>
      <c r="AC14" s="85"/>
      <c r="AD14" s="85"/>
    </row>
    <row r="15" spans="1:39" x14ac:dyDescent="0.3">
      <c r="C15" s="87"/>
      <c r="D15" s="87" t="s">
        <v>37</v>
      </c>
      <c r="E15" s="87" t="s">
        <v>38</v>
      </c>
      <c r="F15" s="87" t="s">
        <v>39</v>
      </c>
      <c r="G15" s="87" t="s">
        <v>40</v>
      </c>
      <c r="H15" s="87" t="s">
        <v>41</v>
      </c>
      <c r="I15" s="87" t="s">
        <v>42</v>
      </c>
      <c r="J15" s="87" t="s">
        <v>43</v>
      </c>
      <c r="K15" s="87" t="s">
        <v>44</v>
      </c>
      <c r="L15" s="86" t="s">
        <v>89</v>
      </c>
      <c r="M15" s="86" t="s">
        <v>90</v>
      </c>
      <c r="N15" s="86" t="s">
        <v>91</v>
      </c>
      <c r="O15" s="86" t="s">
        <v>92</v>
      </c>
      <c r="P15" s="86" t="s">
        <v>93</v>
      </c>
      <c r="Q15" s="86" t="s">
        <v>160</v>
      </c>
      <c r="R15" s="86" t="s">
        <v>161</v>
      </c>
      <c r="S15" s="86" t="s">
        <v>162</v>
      </c>
      <c r="T15" s="86" t="s">
        <v>163</v>
      </c>
      <c r="U15" s="86" t="s">
        <v>164</v>
      </c>
      <c r="V15" s="86" t="s">
        <v>165</v>
      </c>
      <c r="W15" s="86" t="s">
        <v>166</v>
      </c>
      <c r="X15" s="86" t="s">
        <v>167</v>
      </c>
      <c r="Y15" s="86" t="s">
        <v>168</v>
      </c>
      <c r="Z15" s="85"/>
      <c r="AA15" s="85"/>
      <c r="AB15" s="85"/>
      <c r="AC15" s="85"/>
      <c r="AD15" s="85"/>
      <c r="AE15" s="85"/>
      <c r="AF15" s="85"/>
      <c r="AH15" s="85"/>
      <c r="AI15" s="85"/>
      <c r="AJ15" s="85"/>
      <c r="AK15" s="85"/>
      <c r="AL15" s="85"/>
      <c r="AM15" s="85"/>
    </row>
    <row r="16" spans="1:39" ht="72" x14ac:dyDescent="0.3">
      <c r="C16" s="87" t="s">
        <v>169</v>
      </c>
      <c r="D16" s="87" t="s">
        <v>170</v>
      </c>
      <c r="E16" s="87"/>
      <c r="F16" s="87" t="s">
        <v>97</v>
      </c>
      <c r="G16" s="87" t="s">
        <v>171</v>
      </c>
      <c r="H16" s="87" t="s">
        <v>172</v>
      </c>
      <c r="I16" s="87" t="s">
        <v>173</v>
      </c>
      <c r="J16" s="87" t="s">
        <v>174</v>
      </c>
      <c r="K16" s="69"/>
      <c r="L16" s="86" t="s">
        <v>175</v>
      </c>
      <c r="M16" s="86" t="s">
        <v>176</v>
      </c>
      <c r="O16" s="86" t="s">
        <v>177</v>
      </c>
      <c r="P16" s="86" t="s">
        <v>178</v>
      </c>
      <c r="Q16" s="86" t="s">
        <v>179</v>
      </c>
      <c r="R16" s="86" t="s">
        <v>178</v>
      </c>
      <c r="T16" s="86" t="s">
        <v>180</v>
      </c>
      <c r="U16" s="86" t="s">
        <v>181</v>
      </c>
      <c r="W16" s="86" t="s">
        <v>182</v>
      </c>
      <c r="X16" s="86" t="s">
        <v>183</v>
      </c>
      <c r="Y16" s="86"/>
      <c r="Z16" s="85"/>
      <c r="AA16" s="85"/>
      <c r="AB16" s="85"/>
      <c r="AE16" s="85"/>
      <c r="AF16" s="85"/>
      <c r="AG16" s="85"/>
      <c r="AH16" s="85"/>
      <c r="AI16" s="85"/>
      <c r="AJ16" s="85"/>
      <c r="AK16" s="85"/>
      <c r="AL16" s="85"/>
      <c r="AM16" s="85"/>
    </row>
    <row r="17" spans="1:30" ht="43.2" x14ac:dyDescent="0.3">
      <c r="C17" s="87" t="s">
        <v>184</v>
      </c>
      <c r="D17" s="87"/>
      <c r="E17" s="87" t="s">
        <v>185</v>
      </c>
      <c r="F17" s="87" t="s">
        <v>186</v>
      </c>
      <c r="G17" s="87" t="s">
        <v>187</v>
      </c>
      <c r="H17" s="87" t="s">
        <v>188</v>
      </c>
      <c r="I17" s="87"/>
      <c r="J17" s="88"/>
      <c r="K17" s="87" t="s">
        <v>189</v>
      </c>
      <c r="L17" s="68"/>
      <c r="M17" s="68"/>
      <c r="N17" s="86" t="s">
        <v>190</v>
      </c>
      <c r="O17" s="68"/>
      <c r="P17" s="86" t="s">
        <v>191</v>
      </c>
      <c r="Q17" s="86" t="s">
        <v>192</v>
      </c>
      <c r="R17" s="86"/>
      <c r="S17" s="86" t="s">
        <v>193</v>
      </c>
      <c r="T17" s="86"/>
      <c r="U17" s="86"/>
      <c r="V17" s="86" t="s">
        <v>194</v>
      </c>
      <c r="W17" s="86"/>
      <c r="X17" s="86"/>
      <c r="Y17" s="86" t="s">
        <v>195</v>
      </c>
      <c r="Z17" s="85"/>
      <c r="AA17" s="85"/>
      <c r="AB17" s="85"/>
      <c r="AC17" s="85"/>
      <c r="AD17" s="85"/>
    </row>
    <row r="18" spans="1:30" x14ac:dyDescent="0.3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x14ac:dyDescent="0.3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x14ac:dyDescent="0.3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x14ac:dyDescent="0.3">
      <c r="A21" s="85"/>
      <c r="B21" s="85"/>
      <c r="C21" s="85"/>
      <c r="D21" s="85"/>
      <c r="E21" s="85"/>
      <c r="F21" s="85"/>
      <c r="H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x14ac:dyDescent="0.3">
      <c r="C22" s="85"/>
      <c r="F22" s="85"/>
      <c r="G22" s="85"/>
      <c r="I22" s="85"/>
      <c r="M22" s="85"/>
      <c r="N22" s="85"/>
      <c r="O22" s="85"/>
      <c r="P22" s="85"/>
      <c r="Q22" s="85"/>
    </row>
    <row r="28" spans="1:30" ht="15" thickBot="1" x14ac:dyDescent="0.35"/>
    <row r="29" spans="1:30" ht="18" thickBot="1" x14ac:dyDescent="0.35">
      <c r="C29" s="97"/>
      <c r="D29" s="98" t="s">
        <v>37</v>
      </c>
      <c r="E29" s="95" t="s">
        <v>38</v>
      </c>
      <c r="F29" s="95" t="s">
        <v>39</v>
      </c>
      <c r="G29" s="95" t="s">
        <v>40</v>
      </c>
      <c r="H29" s="95" t="s">
        <v>41</v>
      </c>
      <c r="I29" s="95" t="s">
        <v>42</v>
      </c>
      <c r="J29" s="95" t="s">
        <v>43</v>
      </c>
      <c r="K29" s="95" t="s">
        <v>44</v>
      </c>
      <c r="L29" s="95" t="s">
        <v>89</v>
      </c>
      <c r="M29" s="95" t="s">
        <v>90</v>
      </c>
      <c r="N29" s="95" t="s">
        <v>91</v>
      </c>
      <c r="O29" s="95" t="s">
        <v>92</v>
      </c>
      <c r="P29" s="95" t="s">
        <v>93</v>
      </c>
      <c r="Q29" s="95" t="s">
        <v>160</v>
      </c>
      <c r="R29" s="95" t="s">
        <v>161</v>
      </c>
      <c r="S29" s="95" t="s">
        <v>162</v>
      </c>
      <c r="T29" s="95" t="s">
        <v>163</v>
      </c>
      <c r="U29" s="95" t="s">
        <v>164</v>
      </c>
      <c r="V29" s="95" t="s">
        <v>165</v>
      </c>
      <c r="W29" s="95" t="s">
        <v>166</v>
      </c>
      <c r="X29" s="95" t="s">
        <v>167</v>
      </c>
      <c r="Y29" s="96" t="s">
        <v>168</v>
      </c>
    </row>
    <row r="30" spans="1:30" ht="90" x14ac:dyDescent="0.35">
      <c r="C30" s="99" t="s">
        <v>196</v>
      </c>
      <c r="D30" s="100" t="s">
        <v>170</v>
      </c>
      <c r="E30" s="89"/>
      <c r="F30" s="89" t="s">
        <v>97</v>
      </c>
      <c r="G30" s="89" t="s">
        <v>171</v>
      </c>
      <c r="H30" s="89" t="s">
        <v>172</v>
      </c>
      <c r="I30" s="89" t="s">
        <v>173</v>
      </c>
      <c r="J30" s="89" t="s">
        <v>174</v>
      </c>
      <c r="K30" s="90"/>
      <c r="L30" s="89" t="s">
        <v>175</v>
      </c>
      <c r="M30" s="89" t="s">
        <v>176</v>
      </c>
      <c r="N30" s="90"/>
      <c r="O30" s="89" t="s">
        <v>197</v>
      </c>
      <c r="P30" s="89" t="s">
        <v>198</v>
      </c>
      <c r="Q30" s="89"/>
      <c r="R30" s="89" t="s">
        <v>178</v>
      </c>
      <c r="S30" s="91"/>
      <c r="T30" s="89" t="s">
        <v>180</v>
      </c>
      <c r="U30" s="89" t="s">
        <v>181</v>
      </c>
      <c r="V30" s="90"/>
      <c r="W30" s="89" t="s">
        <v>182</v>
      </c>
      <c r="X30" s="89" t="s">
        <v>183</v>
      </c>
      <c r="Y30" s="92"/>
    </row>
    <row r="31" spans="1:30" ht="90.6" thickBot="1" x14ac:dyDescent="0.4">
      <c r="C31" s="101" t="s">
        <v>199</v>
      </c>
      <c r="D31" s="102"/>
      <c r="E31" s="93" t="s">
        <v>185</v>
      </c>
      <c r="F31" s="93" t="s">
        <v>186</v>
      </c>
      <c r="G31" s="93" t="s">
        <v>187</v>
      </c>
      <c r="H31" s="93" t="s">
        <v>188</v>
      </c>
      <c r="I31" s="93"/>
      <c r="J31" s="93"/>
      <c r="K31" s="93" t="s">
        <v>189</v>
      </c>
      <c r="L31" s="93"/>
      <c r="M31" s="93"/>
      <c r="N31" s="93" t="s">
        <v>190</v>
      </c>
      <c r="O31" s="93"/>
      <c r="P31" s="93"/>
      <c r="Q31" s="93" t="s">
        <v>200</v>
      </c>
      <c r="R31" s="93"/>
      <c r="S31" s="93" t="s">
        <v>193</v>
      </c>
      <c r="T31" s="93"/>
      <c r="U31" s="93"/>
      <c r="V31" s="93" t="s">
        <v>194</v>
      </c>
      <c r="W31" s="93"/>
      <c r="X31" s="93"/>
      <c r="Y31" s="94" t="s">
        <v>195</v>
      </c>
    </row>
    <row r="32" spans="1:30" ht="15" thickBot="1" x14ac:dyDescent="0.35"/>
    <row r="33" spans="3:25" ht="18" thickBot="1" x14ac:dyDescent="0.35">
      <c r="C33" s="97"/>
      <c r="D33" s="98" t="s">
        <v>37</v>
      </c>
      <c r="E33" s="95" t="s">
        <v>38</v>
      </c>
      <c r="F33" s="95" t="s">
        <v>39</v>
      </c>
      <c r="G33" s="95" t="s">
        <v>40</v>
      </c>
      <c r="H33" s="95" t="s">
        <v>41</v>
      </c>
      <c r="I33" s="95" t="s">
        <v>42</v>
      </c>
      <c r="J33" s="95" t="s">
        <v>43</v>
      </c>
      <c r="K33" s="95" t="s">
        <v>44</v>
      </c>
      <c r="L33" s="95" t="s">
        <v>89</v>
      </c>
      <c r="M33" s="95" t="s">
        <v>90</v>
      </c>
      <c r="N33" s="95" t="s">
        <v>91</v>
      </c>
      <c r="O33" s="95" t="s">
        <v>92</v>
      </c>
      <c r="P33" s="95" t="s">
        <v>93</v>
      </c>
      <c r="Q33" s="95" t="s">
        <v>160</v>
      </c>
      <c r="R33" s="95" t="s">
        <v>161</v>
      </c>
      <c r="S33" s="95" t="s">
        <v>162</v>
      </c>
      <c r="T33" s="95" t="s">
        <v>163</v>
      </c>
      <c r="U33" s="95" t="s">
        <v>164</v>
      </c>
      <c r="V33" s="95" t="s">
        <v>165</v>
      </c>
      <c r="W33" s="95" t="s">
        <v>166</v>
      </c>
      <c r="X33" s="103" t="s">
        <v>167</v>
      </c>
      <c r="Y33" s="97" t="s">
        <v>168</v>
      </c>
    </row>
    <row r="34" spans="3:25" ht="90" x14ac:dyDescent="0.35">
      <c r="C34" s="99" t="s">
        <v>196</v>
      </c>
      <c r="D34" s="100" t="s">
        <v>170</v>
      </c>
      <c r="E34" s="89"/>
      <c r="F34" s="89" t="s">
        <v>97</v>
      </c>
      <c r="G34" s="89" t="s">
        <v>171</v>
      </c>
      <c r="H34" s="89" t="s">
        <v>201</v>
      </c>
      <c r="I34" s="89" t="s">
        <v>202</v>
      </c>
      <c r="J34" s="89"/>
      <c r="K34" s="89" t="s">
        <v>203</v>
      </c>
      <c r="L34" s="89"/>
      <c r="M34" s="89" t="s">
        <v>204</v>
      </c>
      <c r="N34" s="89" t="s">
        <v>205</v>
      </c>
      <c r="O34" s="89" t="s">
        <v>206</v>
      </c>
      <c r="P34" s="89"/>
      <c r="Q34" s="89" t="s">
        <v>207</v>
      </c>
      <c r="R34" s="91"/>
      <c r="S34" s="89" t="s">
        <v>208</v>
      </c>
      <c r="T34" s="89" t="s">
        <v>209</v>
      </c>
      <c r="U34" s="90"/>
      <c r="V34" s="89" t="s">
        <v>210</v>
      </c>
      <c r="W34" s="89" t="s">
        <v>211</v>
      </c>
      <c r="X34" s="92"/>
    </row>
    <row r="35" spans="3:25" ht="90.6" thickBot="1" x14ac:dyDescent="0.4">
      <c r="C35" s="101" t="s">
        <v>199</v>
      </c>
      <c r="D35" s="102"/>
      <c r="E35" s="93" t="s">
        <v>185</v>
      </c>
      <c r="F35" s="93" t="s">
        <v>186</v>
      </c>
      <c r="G35" s="93" t="s">
        <v>212</v>
      </c>
      <c r="H35" s="93"/>
      <c r="I35" s="93"/>
      <c r="J35" s="93" t="s">
        <v>213</v>
      </c>
      <c r="K35" s="93"/>
      <c r="L35" s="93" t="s">
        <v>214</v>
      </c>
      <c r="M35" s="93"/>
      <c r="N35" s="93"/>
      <c r="O35" s="93"/>
      <c r="P35" s="93" t="s">
        <v>200</v>
      </c>
      <c r="Q35" s="93"/>
      <c r="R35" s="93" t="s">
        <v>193</v>
      </c>
      <c r="S35" s="93"/>
      <c r="T35" s="93"/>
      <c r="U35" s="93" t="s">
        <v>194</v>
      </c>
      <c r="V35" s="93"/>
      <c r="W35" s="93"/>
      <c r="X35" s="94" t="s">
        <v>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практика по УП</vt:lpstr>
      <vt:lpstr>Практика 3 по вариантам х1 х2</vt:lpstr>
      <vt:lpstr>Лист2</vt:lpstr>
      <vt:lpstr>Лекция по УП</vt:lpstr>
      <vt:lpstr>Практика 3</vt:lpstr>
      <vt:lpstr>Лист3</vt:lpstr>
      <vt:lpstr>Практика 6(12.02.25)</vt:lpstr>
      <vt:lpstr>случайные</vt:lpstr>
      <vt:lpstr>Лист1</vt:lpstr>
      <vt:lpstr>практика(18,02)</vt:lpstr>
      <vt:lpstr>разрезы28.01</vt:lpstr>
      <vt:lpstr>куб</vt:lpstr>
      <vt:lpstr>29,01модельЛинейная</vt:lpstr>
      <vt:lpstr>30,01модельКривая</vt:lpstr>
      <vt:lpstr>Сети1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Казанцев</dc:creator>
  <cp:lastModifiedBy>Антон Казанцев</cp:lastModifiedBy>
  <dcterms:created xsi:type="dcterms:W3CDTF">2025-01-29T09:03:45Z</dcterms:created>
  <dcterms:modified xsi:type="dcterms:W3CDTF">2025-03-26T17:19:29Z</dcterms:modified>
</cp:coreProperties>
</file>